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C:\Users\rupak\Desktop\CODE\CODE\IDLE REVENUE\FEBRUARY REVENUE\"/>
    </mc:Choice>
  </mc:AlternateContent>
  <bookViews>
    <workbookView xWindow="0" yWindow="0" windowWidth="28800" windowHeight="12315" activeTab="1"/>
  </bookViews>
  <sheets>
    <sheet name="Sheet1" sheetId="1" r:id="rId1"/>
    <sheet name="TOTAL MM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2" l="1"/>
  <c r="I2" i="2"/>
  <c r="H2" i="2"/>
  <c r="G2" i="2"/>
  <c r="F2" i="2"/>
  <c r="E2" i="2"/>
  <c r="D3" i="2"/>
  <c r="D2" i="2"/>
  <c r="D7" i="2"/>
  <c r="D4" i="2"/>
  <c r="K2" i="2"/>
  <c r="F3" i="2"/>
  <c r="M3" i="2" l="1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D5" i="2"/>
  <c r="D6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M2" i="2"/>
  <c r="L2" i="2"/>
  <c r="O26" i="1" l="1"/>
  <c r="CI30" i="1" l="1"/>
  <c r="CE30" i="1"/>
  <c r="CF30" i="1" s="1"/>
  <c r="CC30" i="1"/>
  <c r="CA30" i="1"/>
  <c r="BW30" i="1"/>
  <c r="BS30" i="1"/>
  <c r="BT30" i="1" s="1"/>
  <c r="BQ30" i="1"/>
  <c r="BO30" i="1"/>
  <c r="BK30" i="1"/>
  <c r="BG30" i="1"/>
  <c r="BH30" i="1" s="1"/>
  <c r="BE30" i="1"/>
  <c r="BC30" i="1"/>
  <c r="AY30" i="1"/>
  <c r="AU30" i="1"/>
  <c r="AV30" i="1" s="1"/>
  <c r="AS30" i="1"/>
  <c r="AQ30" i="1"/>
  <c r="AM30" i="1"/>
  <c r="AI30" i="1"/>
  <c r="AJ30" i="1" s="1"/>
  <c r="AG30" i="1"/>
  <c r="AE30" i="1"/>
  <c r="AA30" i="1"/>
  <c r="W30" i="1"/>
  <c r="X30" i="1" s="1"/>
  <c r="U30" i="1"/>
  <c r="S30" i="1"/>
  <c r="O30" i="1"/>
  <c r="K30" i="1"/>
  <c r="L30" i="1" s="1"/>
  <c r="I30" i="1"/>
  <c r="G30" i="1"/>
  <c r="CI29" i="1"/>
  <c r="CE29" i="1"/>
  <c r="CF29" i="1" s="1"/>
  <c r="CC29" i="1"/>
  <c r="CA29" i="1"/>
  <c r="BW29" i="1"/>
  <c r="BS29" i="1"/>
  <c r="BT29" i="1" s="1"/>
  <c r="BQ29" i="1"/>
  <c r="BO29" i="1"/>
  <c r="BK29" i="1"/>
  <c r="BG29" i="1"/>
  <c r="BH29" i="1" s="1"/>
  <c r="BE29" i="1"/>
  <c r="BC29" i="1"/>
  <c r="AY29" i="1"/>
  <c r="AU29" i="1"/>
  <c r="AV29" i="1" s="1"/>
  <c r="AS29" i="1"/>
  <c r="AQ29" i="1"/>
  <c r="AM29" i="1"/>
  <c r="AI29" i="1"/>
  <c r="AJ29" i="1" s="1"/>
  <c r="AG29" i="1"/>
  <c r="AE29" i="1"/>
  <c r="AA29" i="1"/>
  <c r="W29" i="1"/>
  <c r="X29" i="1" s="1"/>
  <c r="U29" i="1"/>
  <c r="S29" i="1"/>
  <c r="O29" i="1"/>
  <c r="K29" i="1"/>
  <c r="L29" i="1" s="1"/>
  <c r="I29" i="1"/>
  <c r="G29" i="1"/>
  <c r="CI28" i="1"/>
  <c r="CE28" i="1"/>
  <c r="CF28" i="1" s="1"/>
  <c r="CC28" i="1"/>
  <c r="CA28" i="1"/>
  <c r="BW28" i="1"/>
  <c r="BS28" i="1"/>
  <c r="BT28" i="1" s="1"/>
  <c r="BQ28" i="1"/>
  <c r="BO28" i="1"/>
  <c r="BK28" i="1"/>
  <c r="BG28" i="1"/>
  <c r="BH28" i="1" s="1"/>
  <c r="BE28" i="1"/>
  <c r="BC28" i="1"/>
  <c r="AY28" i="1"/>
  <c r="AU28" i="1"/>
  <c r="AV28" i="1" s="1"/>
  <c r="AS28" i="1"/>
  <c r="AQ28" i="1"/>
  <c r="AM28" i="1"/>
  <c r="AI28" i="1"/>
  <c r="AJ28" i="1" s="1"/>
  <c r="AG28" i="1"/>
  <c r="AE28" i="1"/>
  <c r="AA28" i="1"/>
  <c r="W28" i="1"/>
  <c r="X28" i="1" s="1"/>
  <c r="U28" i="1"/>
  <c r="S28" i="1"/>
  <c r="O28" i="1"/>
  <c r="K28" i="1"/>
  <c r="L28" i="1" s="1"/>
  <c r="I28" i="1"/>
  <c r="G28" i="1"/>
  <c r="CI27" i="1"/>
  <c r="CE27" i="1"/>
  <c r="CF27" i="1" s="1"/>
  <c r="CC27" i="1"/>
  <c r="CA27" i="1"/>
  <c r="BW27" i="1"/>
  <c r="BS27" i="1"/>
  <c r="BT27" i="1" s="1"/>
  <c r="BQ27" i="1"/>
  <c r="BO27" i="1"/>
  <c r="BK27" i="1"/>
  <c r="BG27" i="1"/>
  <c r="BH27" i="1" s="1"/>
  <c r="BE27" i="1"/>
  <c r="BC27" i="1"/>
  <c r="AY27" i="1"/>
  <c r="AU27" i="1"/>
  <c r="AV27" i="1" s="1"/>
  <c r="AS27" i="1"/>
  <c r="AQ27" i="1"/>
  <c r="AM27" i="1"/>
  <c r="AI27" i="1"/>
  <c r="AJ27" i="1" s="1"/>
  <c r="AG27" i="1"/>
  <c r="AE27" i="1"/>
  <c r="AA27" i="1"/>
  <c r="W27" i="1"/>
  <c r="X27" i="1" s="1"/>
  <c r="U27" i="1"/>
  <c r="S27" i="1"/>
  <c r="O27" i="1"/>
  <c r="K27" i="1"/>
  <c r="L27" i="1" s="1"/>
  <c r="I27" i="1"/>
  <c r="G27" i="1"/>
  <c r="CI26" i="1"/>
  <c r="CE26" i="1"/>
  <c r="CF26" i="1" s="1"/>
  <c r="CC26" i="1"/>
  <c r="CA26" i="1"/>
  <c r="BW26" i="1"/>
  <c r="BS26" i="1"/>
  <c r="BT26" i="1" s="1"/>
  <c r="BQ26" i="1"/>
  <c r="BO26" i="1"/>
  <c r="BK26" i="1"/>
  <c r="BG26" i="1"/>
  <c r="BH26" i="1" s="1"/>
  <c r="BE26" i="1"/>
  <c r="BC26" i="1"/>
  <c r="AY26" i="1"/>
  <c r="AU26" i="1"/>
  <c r="AV26" i="1" s="1"/>
  <c r="AS26" i="1"/>
  <c r="AQ26" i="1"/>
  <c r="AM26" i="1"/>
  <c r="AI26" i="1"/>
  <c r="AJ26" i="1" s="1"/>
  <c r="AG26" i="1"/>
  <c r="AE26" i="1"/>
  <c r="AA26" i="1"/>
  <c r="W26" i="1"/>
  <c r="X26" i="1" s="1"/>
  <c r="U26" i="1"/>
  <c r="S26" i="1"/>
  <c r="K26" i="1"/>
  <c r="L26" i="1" s="1"/>
  <c r="I26" i="1"/>
  <c r="G26" i="1"/>
  <c r="CI25" i="1"/>
  <c r="CE25" i="1"/>
  <c r="CF25" i="1" s="1"/>
  <c r="CC25" i="1"/>
  <c r="CA25" i="1"/>
  <c r="BW25" i="1"/>
  <c r="BS25" i="1"/>
  <c r="BT25" i="1" s="1"/>
  <c r="BQ25" i="1"/>
  <c r="BO25" i="1"/>
  <c r="BK25" i="1"/>
  <c r="BG25" i="1"/>
  <c r="BH25" i="1" s="1"/>
  <c r="BE25" i="1"/>
  <c r="BC25" i="1"/>
  <c r="AY25" i="1"/>
  <c r="AU25" i="1"/>
  <c r="AV25" i="1" s="1"/>
  <c r="AS25" i="1"/>
  <c r="AQ25" i="1"/>
  <c r="AM25" i="1"/>
  <c r="AI25" i="1"/>
  <c r="AJ25" i="1" s="1"/>
  <c r="AG25" i="1"/>
  <c r="AE25" i="1"/>
  <c r="AA25" i="1"/>
  <c r="W25" i="1"/>
  <c r="X25" i="1" s="1"/>
  <c r="U25" i="1"/>
  <c r="S25" i="1"/>
  <c r="O25" i="1"/>
  <c r="K25" i="1"/>
  <c r="L25" i="1" s="1"/>
  <c r="I25" i="1"/>
  <c r="G25" i="1"/>
  <c r="J25" i="1" s="1"/>
  <c r="CI24" i="1"/>
  <c r="CE24" i="1"/>
  <c r="CF24" i="1" s="1"/>
  <c r="CC24" i="1"/>
  <c r="CA24" i="1"/>
  <c r="BW24" i="1"/>
  <c r="BS24" i="1"/>
  <c r="BT24" i="1" s="1"/>
  <c r="BQ24" i="1"/>
  <c r="BO24" i="1"/>
  <c r="BK24" i="1"/>
  <c r="BG24" i="1"/>
  <c r="BH24" i="1" s="1"/>
  <c r="BE24" i="1"/>
  <c r="BC24" i="1"/>
  <c r="AY24" i="1"/>
  <c r="AU24" i="1"/>
  <c r="AV24" i="1" s="1"/>
  <c r="AS24" i="1"/>
  <c r="AQ24" i="1"/>
  <c r="AM24" i="1"/>
  <c r="AI24" i="1"/>
  <c r="AJ24" i="1" s="1"/>
  <c r="AG24" i="1"/>
  <c r="AE24" i="1"/>
  <c r="AH24" i="1" s="1"/>
  <c r="AA24" i="1"/>
  <c r="W24" i="1"/>
  <c r="X24" i="1" s="1"/>
  <c r="U24" i="1"/>
  <c r="S24" i="1"/>
  <c r="O24" i="1"/>
  <c r="K24" i="1"/>
  <c r="L24" i="1" s="1"/>
  <c r="I24" i="1"/>
  <c r="G24" i="1"/>
  <c r="CI23" i="1"/>
  <c r="CE23" i="1"/>
  <c r="CF23" i="1" s="1"/>
  <c r="CC23" i="1"/>
  <c r="CA23" i="1"/>
  <c r="BW23" i="1"/>
  <c r="BS23" i="1"/>
  <c r="BT23" i="1" s="1"/>
  <c r="BQ23" i="1"/>
  <c r="BO23" i="1"/>
  <c r="BK23" i="1"/>
  <c r="BG23" i="1"/>
  <c r="BH23" i="1" s="1"/>
  <c r="BE23" i="1"/>
  <c r="BC23" i="1"/>
  <c r="AY23" i="1"/>
  <c r="AU23" i="1"/>
  <c r="AV23" i="1" s="1"/>
  <c r="AS23" i="1"/>
  <c r="AQ23" i="1"/>
  <c r="AM23" i="1"/>
  <c r="AI23" i="1"/>
  <c r="AJ23" i="1" s="1"/>
  <c r="AG23" i="1"/>
  <c r="AE23" i="1"/>
  <c r="AA23" i="1"/>
  <c r="W23" i="1"/>
  <c r="X23" i="1" s="1"/>
  <c r="U23" i="1"/>
  <c r="S23" i="1"/>
  <c r="O23" i="1"/>
  <c r="K23" i="1"/>
  <c r="L23" i="1" s="1"/>
  <c r="I23" i="1"/>
  <c r="G23" i="1"/>
  <c r="CI22" i="1"/>
  <c r="CE22" i="1"/>
  <c r="CF22" i="1" s="1"/>
  <c r="CC22" i="1"/>
  <c r="CA22" i="1"/>
  <c r="BW22" i="1"/>
  <c r="BS22" i="1"/>
  <c r="BT22" i="1" s="1"/>
  <c r="BQ22" i="1"/>
  <c r="BO22" i="1"/>
  <c r="BK22" i="1"/>
  <c r="BG22" i="1"/>
  <c r="BH22" i="1" s="1"/>
  <c r="BE22" i="1"/>
  <c r="BC22" i="1"/>
  <c r="AY22" i="1"/>
  <c r="AU22" i="1"/>
  <c r="AV22" i="1" s="1"/>
  <c r="AS22" i="1"/>
  <c r="AQ22" i="1"/>
  <c r="AM22" i="1"/>
  <c r="AI22" i="1"/>
  <c r="AJ22" i="1" s="1"/>
  <c r="AG22" i="1"/>
  <c r="AE22" i="1"/>
  <c r="AA22" i="1"/>
  <c r="W22" i="1"/>
  <c r="X22" i="1" s="1"/>
  <c r="U22" i="1"/>
  <c r="S22" i="1"/>
  <c r="O22" i="1"/>
  <c r="K22" i="1"/>
  <c r="L22" i="1" s="1"/>
  <c r="I22" i="1"/>
  <c r="G22" i="1"/>
  <c r="CI21" i="1"/>
  <c r="CE21" i="1"/>
  <c r="CF21" i="1" s="1"/>
  <c r="CC21" i="1"/>
  <c r="CA21" i="1"/>
  <c r="BW21" i="1"/>
  <c r="BS21" i="1"/>
  <c r="BT21" i="1" s="1"/>
  <c r="BQ21" i="1"/>
  <c r="BO21" i="1"/>
  <c r="BK21" i="1"/>
  <c r="BG21" i="1"/>
  <c r="BH21" i="1" s="1"/>
  <c r="BE21" i="1"/>
  <c r="BC21" i="1"/>
  <c r="AY21" i="1"/>
  <c r="AU21" i="1"/>
  <c r="AV21" i="1" s="1"/>
  <c r="AS21" i="1"/>
  <c r="AQ21" i="1"/>
  <c r="AT21" i="1" s="1"/>
  <c r="AM21" i="1"/>
  <c r="AI21" i="1"/>
  <c r="AJ21" i="1" s="1"/>
  <c r="AG21" i="1"/>
  <c r="AE21" i="1"/>
  <c r="AA21" i="1"/>
  <c r="W21" i="1"/>
  <c r="X21" i="1" s="1"/>
  <c r="U21" i="1"/>
  <c r="S21" i="1"/>
  <c r="O21" i="1"/>
  <c r="K21" i="1"/>
  <c r="L21" i="1" s="1"/>
  <c r="I21" i="1"/>
  <c r="G21" i="1"/>
  <c r="CI20" i="1"/>
  <c r="CE20" i="1"/>
  <c r="CF20" i="1" s="1"/>
  <c r="CC20" i="1"/>
  <c r="CA20" i="1"/>
  <c r="BW20" i="1"/>
  <c r="BS20" i="1"/>
  <c r="BT20" i="1" s="1"/>
  <c r="BQ20" i="1"/>
  <c r="BO20" i="1"/>
  <c r="BK20" i="1"/>
  <c r="BG20" i="1"/>
  <c r="BH20" i="1" s="1"/>
  <c r="BE20" i="1"/>
  <c r="BC20" i="1"/>
  <c r="AY20" i="1"/>
  <c r="AU20" i="1"/>
  <c r="AV20" i="1" s="1"/>
  <c r="AS20" i="1"/>
  <c r="AQ20" i="1"/>
  <c r="AM20" i="1"/>
  <c r="AI20" i="1"/>
  <c r="AJ20" i="1" s="1"/>
  <c r="AG20" i="1"/>
  <c r="AE20" i="1"/>
  <c r="AA20" i="1"/>
  <c r="W20" i="1"/>
  <c r="X20" i="1" s="1"/>
  <c r="U20" i="1"/>
  <c r="S20" i="1"/>
  <c r="O20" i="1"/>
  <c r="K20" i="1"/>
  <c r="L20" i="1" s="1"/>
  <c r="I20" i="1"/>
  <c r="G20" i="1"/>
  <c r="CI19" i="1"/>
  <c r="CE19" i="1"/>
  <c r="CF19" i="1" s="1"/>
  <c r="CC19" i="1"/>
  <c r="CA19" i="1"/>
  <c r="BW19" i="1"/>
  <c r="BS19" i="1"/>
  <c r="BT19" i="1" s="1"/>
  <c r="BQ19" i="1"/>
  <c r="BO19" i="1"/>
  <c r="BK19" i="1"/>
  <c r="BG19" i="1"/>
  <c r="BH19" i="1" s="1"/>
  <c r="BE19" i="1"/>
  <c r="BC19" i="1"/>
  <c r="AY19" i="1"/>
  <c r="AU19" i="1"/>
  <c r="AV19" i="1" s="1"/>
  <c r="AS19" i="1"/>
  <c r="AQ19" i="1"/>
  <c r="AM19" i="1"/>
  <c r="AI19" i="1"/>
  <c r="AJ19" i="1" s="1"/>
  <c r="AG19" i="1"/>
  <c r="AE19" i="1"/>
  <c r="AH19" i="1" s="1"/>
  <c r="AA19" i="1"/>
  <c r="W19" i="1"/>
  <c r="X19" i="1" s="1"/>
  <c r="U19" i="1"/>
  <c r="S19" i="1"/>
  <c r="O19" i="1"/>
  <c r="K19" i="1"/>
  <c r="L19" i="1" s="1"/>
  <c r="I19" i="1"/>
  <c r="G19" i="1"/>
  <c r="CI18" i="1"/>
  <c r="CE18" i="1"/>
  <c r="CF18" i="1" s="1"/>
  <c r="CC18" i="1"/>
  <c r="CA18" i="1"/>
  <c r="BW18" i="1"/>
  <c r="BS18" i="1"/>
  <c r="BT18" i="1" s="1"/>
  <c r="BQ18" i="1"/>
  <c r="BO18" i="1"/>
  <c r="BK18" i="1"/>
  <c r="BG18" i="1"/>
  <c r="BH18" i="1" s="1"/>
  <c r="BE18" i="1"/>
  <c r="BC18" i="1"/>
  <c r="AY18" i="1"/>
  <c r="AU18" i="1"/>
  <c r="AV18" i="1" s="1"/>
  <c r="AS18" i="1"/>
  <c r="AQ18" i="1"/>
  <c r="AM18" i="1"/>
  <c r="AI18" i="1"/>
  <c r="AJ18" i="1" s="1"/>
  <c r="AG18" i="1"/>
  <c r="AE18" i="1"/>
  <c r="AA18" i="1"/>
  <c r="W18" i="1"/>
  <c r="X18" i="1" s="1"/>
  <c r="U18" i="1"/>
  <c r="S18" i="1"/>
  <c r="O18" i="1"/>
  <c r="K18" i="1"/>
  <c r="L18" i="1" s="1"/>
  <c r="I18" i="1"/>
  <c r="G18" i="1"/>
  <c r="CI17" i="1"/>
  <c r="CE17" i="1"/>
  <c r="CF17" i="1" s="1"/>
  <c r="CC17" i="1"/>
  <c r="CA17" i="1"/>
  <c r="BW17" i="1"/>
  <c r="BS17" i="1"/>
  <c r="BT17" i="1" s="1"/>
  <c r="BQ17" i="1"/>
  <c r="BO17" i="1"/>
  <c r="BK17" i="1"/>
  <c r="BG17" i="1"/>
  <c r="BH17" i="1" s="1"/>
  <c r="BE17" i="1"/>
  <c r="BC17" i="1"/>
  <c r="AY17" i="1"/>
  <c r="AU17" i="1"/>
  <c r="AV17" i="1" s="1"/>
  <c r="AS17" i="1"/>
  <c r="AQ17" i="1"/>
  <c r="AM17" i="1"/>
  <c r="AI17" i="1"/>
  <c r="AJ17" i="1" s="1"/>
  <c r="AG17" i="1"/>
  <c r="AE17" i="1"/>
  <c r="AA17" i="1"/>
  <c r="W17" i="1"/>
  <c r="X17" i="1" s="1"/>
  <c r="U17" i="1"/>
  <c r="S17" i="1"/>
  <c r="V17" i="1" s="1"/>
  <c r="O17" i="1"/>
  <c r="K17" i="1"/>
  <c r="L17" i="1" s="1"/>
  <c r="I17" i="1"/>
  <c r="G17" i="1"/>
  <c r="CI16" i="1"/>
  <c r="CE16" i="1"/>
  <c r="CF16" i="1" s="1"/>
  <c r="CC16" i="1"/>
  <c r="CA16" i="1"/>
  <c r="BW16" i="1"/>
  <c r="BS16" i="1"/>
  <c r="BT16" i="1" s="1"/>
  <c r="BQ16" i="1"/>
  <c r="BO16" i="1"/>
  <c r="BK16" i="1"/>
  <c r="BG16" i="1"/>
  <c r="BH16" i="1" s="1"/>
  <c r="BE16" i="1"/>
  <c r="BC16" i="1"/>
  <c r="AY16" i="1"/>
  <c r="AU16" i="1"/>
  <c r="AV16" i="1" s="1"/>
  <c r="AS16" i="1"/>
  <c r="AQ16" i="1"/>
  <c r="AT16" i="1" s="1"/>
  <c r="AM16" i="1"/>
  <c r="AI16" i="1"/>
  <c r="AJ16" i="1" s="1"/>
  <c r="AG16" i="1"/>
  <c r="AE16" i="1"/>
  <c r="AA16" i="1"/>
  <c r="W16" i="1"/>
  <c r="X16" i="1" s="1"/>
  <c r="U16" i="1"/>
  <c r="S16" i="1"/>
  <c r="O16" i="1"/>
  <c r="K16" i="1"/>
  <c r="L16" i="1" s="1"/>
  <c r="I16" i="1"/>
  <c r="G16" i="1"/>
  <c r="CI15" i="1"/>
  <c r="CE15" i="1"/>
  <c r="CF15" i="1" s="1"/>
  <c r="CC15" i="1"/>
  <c r="CA15" i="1"/>
  <c r="BW15" i="1"/>
  <c r="BS15" i="1"/>
  <c r="BT15" i="1" s="1"/>
  <c r="BQ15" i="1"/>
  <c r="BO15" i="1"/>
  <c r="BR15" i="1" s="1"/>
  <c r="BK15" i="1"/>
  <c r="BG15" i="1"/>
  <c r="BH15" i="1" s="1"/>
  <c r="BE15" i="1"/>
  <c r="BC15" i="1"/>
  <c r="AY15" i="1"/>
  <c r="AU15" i="1"/>
  <c r="AV15" i="1" s="1"/>
  <c r="AS15" i="1"/>
  <c r="AQ15" i="1"/>
  <c r="AM15" i="1"/>
  <c r="AI15" i="1"/>
  <c r="AJ15" i="1" s="1"/>
  <c r="AG15" i="1"/>
  <c r="AE15" i="1"/>
  <c r="AA15" i="1"/>
  <c r="W15" i="1"/>
  <c r="X15" i="1" s="1"/>
  <c r="U15" i="1"/>
  <c r="S15" i="1"/>
  <c r="O15" i="1"/>
  <c r="K15" i="1"/>
  <c r="L15" i="1" s="1"/>
  <c r="I15" i="1"/>
  <c r="G15" i="1"/>
  <c r="CI14" i="1"/>
  <c r="CE14" i="1"/>
  <c r="CF14" i="1" s="1"/>
  <c r="CC14" i="1"/>
  <c r="CA14" i="1"/>
  <c r="BW14" i="1"/>
  <c r="BS14" i="1"/>
  <c r="BT14" i="1" s="1"/>
  <c r="BQ14" i="1"/>
  <c r="BO14" i="1"/>
  <c r="BK14" i="1"/>
  <c r="BG14" i="1"/>
  <c r="BH14" i="1" s="1"/>
  <c r="BE14" i="1"/>
  <c r="BC14" i="1"/>
  <c r="AY14" i="1"/>
  <c r="AU14" i="1"/>
  <c r="AV14" i="1" s="1"/>
  <c r="AS14" i="1"/>
  <c r="AQ14" i="1"/>
  <c r="AM14" i="1"/>
  <c r="AI14" i="1"/>
  <c r="AJ14" i="1" s="1"/>
  <c r="AG14" i="1"/>
  <c r="AE14" i="1"/>
  <c r="AA14" i="1"/>
  <c r="W14" i="1"/>
  <c r="X14" i="1" s="1"/>
  <c r="U14" i="1"/>
  <c r="S14" i="1"/>
  <c r="O14" i="1"/>
  <c r="K14" i="1"/>
  <c r="L14" i="1" s="1"/>
  <c r="I14" i="1"/>
  <c r="G14" i="1"/>
  <c r="CI13" i="1"/>
  <c r="CE13" i="1"/>
  <c r="CF13" i="1" s="1"/>
  <c r="CC13" i="1"/>
  <c r="CA13" i="1"/>
  <c r="BW13" i="1"/>
  <c r="BS13" i="1"/>
  <c r="BT13" i="1" s="1"/>
  <c r="BQ13" i="1"/>
  <c r="BO13" i="1"/>
  <c r="BK13" i="1"/>
  <c r="BG13" i="1"/>
  <c r="BH13" i="1" s="1"/>
  <c r="BE13" i="1"/>
  <c r="BC13" i="1"/>
  <c r="AY13" i="1"/>
  <c r="AU13" i="1"/>
  <c r="AV13" i="1" s="1"/>
  <c r="AS13" i="1"/>
  <c r="AQ13" i="1"/>
  <c r="AM13" i="1"/>
  <c r="AI13" i="1"/>
  <c r="AJ13" i="1" s="1"/>
  <c r="AG13" i="1"/>
  <c r="AE13" i="1"/>
  <c r="AA13" i="1"/>
  <c r="W13" i="1"/>
  <c r="X13" i="1" s="1"/>
  <c r="U13" i="1"/>
  <c r="S13" i="1"/>
  <c r="O13" i="1"/>
  <c r="K13" i="1"/>
  <c r="L13" i="1" s="1"/>
  <c r="I13" i="1"/>
  <c r="G13" i="1"/>
  <c r="CI12" i="1"/>
  <c r="CE12" i="1"/>
  <c r="CF12" i="1" s="1"/>
  <c r="CC12" i="1"/>
  <c r="CA12" i="1"/>
  <c r="BW12" i="1"/>
  <c r="BS12" i="1"/>
  <c r="BT12" i="1" s="1"/>
  <c r="BQ12" i="1"/>
  <c r="BO12" i="1"/>
  <c r="BK12" i="1"/>
  <c r="BG12" i="1"/>
  <c r="BH12" i="1" s="1"/>
  <c r="BE12" i="1"/>
  <c r="BC12" i="1"/>
  <c r="AY12" i="1"/>
  <c r="AU12" i="1"/>
  <c r="AV12" i="1" s="1"/>
  <c r="AS12" i="1"/>
  <c r="AQ12" i="1"/>
  <c r="AM12" i="1"/>
  <c r="AI12" i="1"/>
  <c r="AJ12" i="1" s="1"/>
  <c r="AG12" i="1"/>
  <c r="AE12" i="1"/>
  <c r="AA12" i="1"/>
  <c r="W12" i="1"/>
  <c r="X12" i="1" s="1"/>
  <c r="U12" i="1"/>
  <c r="S12" i="1"/>
  <c r="O12" i="1"/>
  <c r="K12" i="1"/>
  <c r="L12" i="1" s="1"/>
  <c r="I12" i="1"/>
  <c r="G12" i="1"/>
  <c r="CI11" i="1"/>
  <c r="CE11" i="1"/>
  <c r="CF11" i="1" s="1"/>
  <c r="CC11" i="1"/>
  <c r="CA11" i="1"/>
  <c r="BW11" i="1"/>
  <c r="BS11" i="1"/>
  <c r="BT11" i="1" s="1"/>
  <c r="BQ11" i="1"/>
  <c r="BO11" i="1"/>
  <c r="BK11" i="1"/>
  <c r="BG11" i="1"/>
  <c r="BH11" i="1" s="1"/>
  <c r="BE11" i="1"/>
  <c r="BC11" i="1"/>
  <c r="AY11" i="1"/>
  <c r="AU11" i="1"/>
  <c r="AV11" i="1" s="1"/>
  <c r="AS11" i="1"/>
  <c r="AQ11" i="1"/>
  <c r="AM11" i="1"/>
  <c r="AI11" i="1"/>
  <c r="AJ11" i="1" s="1"/>
  <c r="AG11" i="1"/>
  <c r="AE11" i="1"/>
  <c r="AA11" i="1"/>
  <c r="W11" i="1"/>
  <c r="X11" i="1" s="1"/>
  <c r="U11" i="1"/>
  <c r="S11" i="1"/>
  <c r="O11" i="1"/>
  <c r="K11" i="1"/>
  <c r="L11" i="1" s="1"/>
  <c r="I11" i="1"/>
  <c r="G11" i="1"/>
  <c r="CI10" i="1"/>
  <c r="CE10" i="1"/>
  <c r="CF10" i="1" s="1"/>
  <c r="CC10" i="1"/>
  <c r="CA10" i="1"/>
  <c r="BW10" i="1"/>
  <c r="BS10" i="1"/>
  <c r="BT10" i="1" s="1"/>
  <c r="BQ10" i="1"/>
  <c r="BO10" i="1"/>
  <c r="BK10" i="1"/>
  <c r="BG10" i="1"/>
  <c r="BH10" i="1" s="1"/>
  <c r="BE10" i="1"/>
  <c r="BC10" i="1"/>
  <c r="AY10" i="1"/>
  <c r="AU10" i="1"/>
  <c r="AV10" i="1" s="1"/>
  <c r="AS10" i="1"/>
  <c r="AQ10" i="1"/>
  <c r="AM10" i="1"/>
  <c r="AI10" i="1"/>
  <c r="AJ10" i="1" s="1"/>
  <c r="AG10" i="1"/>
  <c r="AE10" i="1"/>
  <c r="AA10" i="1"/>
  <c r="W10" i="1"/>
  <c r="X10" i="1" s="1"/>
  <c r="U10" i="1"/>
  <c r="S10" i="1"/>
  <c r="O10" i="1"/>
  <c r="K10" i="1"/>
  <c r="L10" i="1" s="1"/>
  <c r="I10" i="1"/>
  <c r="G10" i="1"/>
  <c r="CI9" i="1"/>
  <c r="CE9" i="1"/>
  <c r="CF9" i="1" s="1"/>
  <c r="CC9" i="1"/>
  <c r="CA9" i="1"/>
  <c r="BW9" i="1"/>
  <c r="BS9" i="1"/>
  <c r="BT9" i="1" s="1"/>
  <c r="BQ9" i="1"/>
  <c r="BO9" i="1"/>
  <c r="BK9" i="1"/>
  <c r="BG9" i="1"/>
  <c r="BH9" i="1" s="1"/>
  <c r="BE9" i="1"/>
  <c r="BC9" i="1"/>
  <c r="AY9" i="1"/>
  <c r="AU9" i="1"/>
  <c r="AV9" i="1" s="1"/>
  <c r="AS9" i="1"/>
  <c r="AQ9" i="1"/>
  <c r="AM9" i="1"/>
  <c r="AI9" i="1"/>
  <c r="AJ9" i="1" s="1"/>
  <c r="AG9" i="1"/>
  <c r="AE9" i="1"/>
  <c r="AA9" i="1"/>
  <c r="W9" i="1"/>
  <c r="X9" i="1" s="1"/>
  <c r="U9" i="1"/>
  <c r="S9" i="1"/>
  <c r="O9" i="1"/>
  <c r="K9" i="1"/>
  <c r="L9" i="1" s="1"/>
  <c r="I9" i="1"/>
  <c r="G9" i="1"/>
  <c r="CI8" i="1"/>
  <c r="CE8" i="1"/>
  <c r="CF8" i="1" s="1"/>
  <c r="CC8" i="1"/>
  <c r="CA8" i="1"/>
  <c r="BW8" i="1"/>
  <c r="BS8" i="1"/>
  <c r="BT8" i="1" s="1"/>
  <c r="BQ8" i="1"/>
  <c r="BO8" i="1"/>
  <c r="BK8" i="1"/>
  <c r="BG8" i="1"/>
  <c r="BH8" i="1" s="1"/>
  <c r="BE8" i="1"/>
  <c r="BC8" i="1"/>
  <c r="AY8" i="1"/>
  <c r="AU8" i="1"/>
  <c r="AV8" i="1" s="1"/>
  <c r="AS8" i="1"/>
  <c r="AQ8" i="1"/>
  <c r="AM8" i="1"/>
  <c r="AI8" i="1"/>
  <c r="AJ8" i="1" s="1"/>
  <c r="AG8" i="1"/>
  <c r="AE8" i="1"/>
  <c r="AA8" i="1"/>
  <c r="W8" i="1"/>
  <c r="X8" i="1" s="1"/>
  <c r="U8" i="1"/>
  <c r="S8" i="1"/>
  <c r="O8" i="1"/>
  <c r="K8" i="1"/>
  <c r="L8" i="1" s="1"/>
  <c r="I8" i="1"/>
  <c r="G8" i="1"/>
  <c r="CI7" i="1"/>
  <c r="CE7" i="1"/>
  <c r="CF7" i="1" s="1"/>
  <c r="CC7" i="1"/>
  <c r="CA7" i="1"/>
  <c r="BW7" i="1"/>
  <c r="BS7" i="1"/>
  <c r="BT7" i="1" s="1"/>
  <c r="BQ7" i="1"/>
  <c r="BO7" i="1"/>
  <c r="BK7" i="1"/>
  <c r="BG7" i="1"/>
  <c r="BH7" i="1" s="1"/>
  <c r="BE7" i="1"/>
  <c r="BC7" i="1"/>
  <c r="AY7" i="1"/>
  <c r="AU7" i="1"/>
  <c r="AV7" i="1" s="1"/>
  <c r="AS7" i="1"/>
  <c r="AQ7" i="1"/>
  <c r="AM7" i="1"/>
  <c r="AI7" i="1"/>
  <c r="AJ7" i="1" s="1"/>
  <c r="AG7" i="1"/>
  <c r="AE7" i="1"/>
  <c r="AA7" i="1"/>
  <c r="W7" i="1"/>
  <c r="X7" i="1" s="1"/>
  <c r="U7" i="1"/>
  <c r="S7" i="1"/>
  <c r="O7" i="1"/>
  <c r="K7" i="1"/>
  <c r="L7" i="1" s="1"/>
  <c r="I7" i="1"/>
  <c r="G7" i="1"/>
  <c r="CI6" i="1"/>
  <c r="CE6" i="1"/>
  <c r="CF6" i="1" s="1"/>
  <c r="CC6" i="1"/>
  <c r="CA6" i="1"/>
  <c r="BW6" i="1"/>
  <c r="BS6" i="1"/>
  <c r="BT6" i="1" s="1"/>
  <c r="BQ6" i="1"/>
  <c r="BO6" i="1"/>
  <c r="BK6" i="1"/>
  <c r="BG6" i="1"/>
  <c r="BH6" i="1" s="1"/>
  <c r="BE6" i="1"/>
  <c r="BC6" i="1"/>
  <c r="AY6" i="1"/>
  <c r="AU6" i="1"/>
  <c r="AV6" i="1" s="1"/>
  <c r="AS6" i="1"/>
  <c r="AQ6" i="1"/>
  <c r="AM6" i="1"/>
  <c r="AI6" i="1"/>
  <c r="AJ6" i="1" s="1"/>
  <c r="AG6" i="1"/>
  <c r="AE6" i="1"/>
  <c r="AA6" i="1"/>
  <c r="W6" i="1"/>
  <c r="X6" i="1" s="1"/>
  <c r="U6" i="1"/>
  <c r="S6" i="1"/>
  <c r="O6" i="1"/>
  <c r="K6" i="1"/>
  <c r="L6" i="1" s="1"/>
  <c r="I6" i="1"/>
  <c r="G6" i="1"/>
  <c r="CI5" i="1"/>
  <c r="CE5" i="1"/>
  <c r="CF5" i="1" s="1"/>
  <c r="CC5" i="1"/>
  <c r="CA5" i="1"/>
  <c r="BW5" i="1"/>
  <c r="BS5" i="1"/>
  <c r="BT5" i="1" s="1"/>
  <c r="BQ5" i="1"/>
  <c r="BO5" i="1"/>
  <c r="BK5" i="1"/>
  <c r="BG5" i="1"/>
  <c r="BH5" i="1" s="1"/>
  <c r="BE5" i="1"/>
  <c r="BC5" i="1"/>
  <c r="AY5" i="1"/>
  <c r="AU5" i="1"/>
  <c r="AV5" i="1" s="1"/>
  <c r="AS5" i="1"/>
  <c r="AQ5" i="1"/>
  <c r="AM5" i="1"/>
  <c r="AI5" i="1"/>
  <c r="AJ5" i="1" s="1"/>
  <c r="AG5" i="1"/>
  <c r="AE5" i="1"/>
  <c r="AA5" i="1"/>
  <c r="W5" i="1"/>
  <c r="X5" i="1" s="1"/>
  <c r="U5" i="1"/>
  <c r="S5" i="1"/>
  <c r="O5" i="1"/>
  <c r="K5" i="1"/>
  <c r="L5" i="1" s="1"/>
  <c r="I5" i="1"/>
  <c r="G5" i="1"/>
  <c r="CI4" i="1"/>
  <c r="CE4" i="1"/>
  <c r="CF4" i="1" s="1"/>
  <c r="CC4" i="1"/>
  <c r="CA4" i="1"/>
  <c r="BW4" i="1"/>
  <c r="BS4" i="1"/>
  <c r="BT4" i="1" s="1"/>
  <c r="BQ4" i="1"/>
  <c r="BO4" i="1"/>
  <c r="BK4" i="1"/>
  <c r="BG4" i="1"/>
  <c r="BH4" i="1" s="1"/>
  <c r="BE4" i="1"/>
  <c r="BC4" i="1"/>
  <c r="AY4" i="1"/>
  <c r="AU4" i="1"/>
  <c r="AV4" i="1" s="1"/>
  <c r="AS4" i="1"/>
  <c r="AQ4" i="1"/>
  <c r="AM4" i="1"/>
  <c r="AI4" i="1"/>
  <c r="AJ4" i="1" s="1"/>
  <c r="AG4" i="1"/>
  <c r="AE4" i="1"/>
  <c r="AH4" i="1" s="1"/>
  <c r="AA4" i="1"/>
  <c r="W4" i="1"/>
  <c r="X4" i="1" s="1"/>
  <c r="U4" i="1"/>
  <c r="S4" i="1"/>
  <c r="O4" i="1"/>
  <c r="K4" i="1"/>
  <c r="L4" i="1" s="1"/>
  <c r="I4" i="1"/>
  <c r="G4" i="1"/>
  <c r="CI3" i="1"/>
  <c r="CE3" i="1"/>
  <c r="CF3" i="1" s="1"/>
  <c r="CC3" i="1"/>
  <c r="CA3" i="1"/>
  <c r="BW3" i="1"/>
  <c r="BS3" i="1"/>
  <c r="BT3" i="1" s="1"/>
  <c r="BQ3" i="1"/>
  <c r="BO3" i="1"/>
  <c r="BK3" i="1"/>
  <c r="BG3" i="1"/>
  <c r="BH3" i="1" s="1"/>
  <c r="BE3" i="1"/>
  <c r="BC3" i="1"/>
  <c r="BF3" i="1" s="1"/>
  <c r="AY3" i="1"/>
  <c r="AU3" i="1"/>
  <c r="AV3" i="1" s="1"/>
  <c r="AS3" i="1"/>
  <c r="AQ3" i="1"/>
  <c r="AM3" i="1"/>
  <c r="AI3" i="1"/>
  <c r="AJ3" i="1" s="1"/>
  <c r="AG3" i="1"/>
  <c r="AE3" i="1"/>
  <c r="AA3" i="1"/>
  <c r="W3" i="1"/>
  <c r="X3" i="1" s="1"/>
  <c r="U3" i="1"/>
  <c r="S3" i="1"/>
  <c r="O3" i="1"/>
  <c r="K3" i="1"/>
  <c r="L3" i="1" s="1"/>
  <c r="I3" i="1"/>
  <c r="G3" i="1"/>
  <c r="BR25" i="1" l="1"/>
  <c r="J4" i="1"/>
  <c r="BR4" i="1"/>
  <c r="AT5" i="1"/>
  <c r="V6" i="1"/>
  <c r="CD6" i="1"/>
  <c r="AH8" i="1"/>
  <c r="AT10" i="1"/>
  <c r="CD11" i="1"/>
  <c r="J14" i="1"/>
  <c r="BR14" i="1"/>
  <c r="AT15" i="1"/>
  <c r="AH18" i="1"/>
  <c r="AT20" i="1"/>
  <c r="V21" i="1"/>
  <c r="CD21" i="1"/>
  <c r="BF22" i="1"/>
  <c r="AH23" i="1"/>
  <c r="J24" i="1"/>
  <c r="BR24" i="1"/>
  <c r="V27" i="1"/>
  <c r="BF28" i="1"/>
  <c r="BR30" i="1"/>
  <c r="J27" i="1"/>
  <c r="AT28" i="1"/>
  <c r="CD29" i="1"/>
  <c r="BF30" i="1"/>
  <c r="AH27" i="1"/>
  <c r="V30" i="1"/>
  <c r="BR5" i="1"/>
  <c r="BF8" i="1"/>
  <c r="AH9" i="1"/>
  <c r="J10" i="1"/>
  <c r="BR10" i="1"/>
  <c r="AT11" i="1"/>
  <c r="BR28" i="1"/>
  <c r="V3" i="1"/>
  <c r="CD3" i="1"/>
  <c r="J6" i="1"/>
  <c r="BF19" i="1"/>
  <c r="AH20" i="1"/>
  <c r="J21" i="1"/>
  <c r="BR21" i="1"/>
  <c r="AT22" i="1"/>
  <c r="CD23" i="1"/>
  <c r="V26" i="1"/>
  <c r="BF27" i="1"/>
  <c r="AH28" i="1"/>
  <c r="BR29" i="1"/>
  <c r="AT30" i="1"/>
  <c r="CD4" i="1"/>
  <c r="BF5" i="1"/>
  <c r="BR7" i="1"/>
  <c r="AT8" i="1"/>
  <c r="BF10" i="1"/>
  <c r="AH11" i="1"/>
  <c r="BR12" i="1"/>
  <c r="V14" i="1"/>
  <c r="AH16" i="1"/>
  <c r="J17" i="1"/>
  <c r="BR17" i="1"/>
  <c r="AT18" i="1"/>
  <c r="V19" i="1"/>
  <c r="BF20" i="1"/>
  <c r="AH21" i="1"/>
  <c r="J22" i="1"/>
  <c r="BR22" i="1"/>
  <c r="AT23" i="1"/>
  <c r="CD24" i="1"/>
  <c r="BF25" i="1"/>
  <c r="CD25" i="1"/>
  <c r="CD27" i="1"/>
  <c r="BR27" i="1"/>
  <c r="AH26" i="1"/>
  <c r="V23" i="1"/>
  <c r="J29" i="1"/>
  <c r="J23" i="1"/>
  <c r="BF24" i="1"/>
  <c r="AH25" i="1"/>
  <c r="AT27" i="1"/>
  <c r="V28" i="1"/>
  <c r="CD28" i="1"/>
  <c r="BF29" i="1"/>
  <c r="AH30" i="1"/>
  <c r="BF21" i="1"/>
  <c r="V20" i="1"/>
  <c r="J19" i="1"/>
  <c r="J20" i="1"/>
  <c r="BF18" i="1"/>
  <c r="BR19" i="1"/>
  <c r="CD19" i="1"/>
  <c r="CD16" i="1"/>
  <c r="CD9" i="1"/>
  <c r="BF12" i="1"/>
  <c r="V5" i="1"/>
  <c r="AH7" i="1"/>
  <c r="BR8" i="1"/>
  <c r="V10" i="1"/>
  <c r="CD10" i="1"/>
  <c r="BF11" i="1"/>
  <c r="CD15" i="1"/>
  <c r="AH17" i="1"/>
  <c r="BR18" i="1"/>
  <c r="J12" i="1"/>
  <c r="AH13" i="1"/>
  <c r="AT14" i="1"/>
  <c r="AT13" i="1"/>
  <c r="J9" i="1"/>
  <c r="BF7" i="1"/>
  <c r="J8" i="1"/>
  <c r="V9" i="1"/>
  <c r="J7" i="1"/>
  <c r="AH5" i="1"/>
  <c r="AH6" i="1"/>
  <c r="AT6" i="1"/>
  <c r="BF6" i="1"/>
  <c r="AT4" i="1"/>
  <c r="CD5" i="1"/>
  <c r="J5" i="1"/>
  <c r="AH3" i="1"/>
  <c r="BF4" i="1"/>
  <c r="J3" i="1"/>
  <c r="BR3" i="1"/>
  <c r="BR6" i="1"/>
  <c r="AT7" i="1"/>
  <c r="V8" i="1"/>
  <c r="CD8" i="1"/>
  <c r="BF9" i="1"/>
  <c r="BR11" i="1"/>
  <c r="AT12" i="1"/>
  <c r="CD13" i="1"/>
  <c r="BF14" i="1"/>
  <c r="AH15" i="1"/>
  <c r="J16" i="1"/>
  <c r="BR16" i="1"/>
  <c r="AT17" i="1"/>
  <c r="V18" i="1"/>
  <c r="CD26" i="1"/>
  <c r="AH12" i="1"/>
  <c r="AH29" i="1"/>
  <c r="BR9" i="1"/>
  <c r="AT19" i="1"/>
  <c r="AT24" i="1"/>
  <c r="J13" i="1"/>
  <c r="V29" i="1"/>
  <c r="V11" i="1"/>
  <c r="V13" i="1"/>
  <c r="AT29" i="1"/>
  <c r="CD30" i="1"/>
  <c r="J15" i="1"/>
  <c r="V15" i="1"/>
  <c r="CD20" i="1"/>
  <c r="V4" i="1"/>
  <c r="AH22" i="1"/>
  <c r="BR23" i="1"/>
  <c r="BF16" i="1"/>
  <c r="V25" i="1"/>
  <c r="AT9" i="1"/>
  <c r="J18" i="1"/>
  <c r="V12" i="1"/>
  <c r="BF26" i="1"/>
  <c r="CD12" i="1"/>
  <c r="CD14" i="1"/>
  <c r="V16" i="1"/>
  <c r="BR20" i="1"/>
  <c r="J26" i="1"/>
  <c r="CD7" i="1"/>
  <c r="CD17" i="1"/>
  <c r="V7" i="1"/>
  <c r="AH10" i="1"/>
  <c r="BF13" i="1"/>
  <c r="AH14" i="1"/>
  <c r="BF15" i="1"/>
  <c r="AT25" i="1"/>
  <c r="BR26" i="1"/>
  <c r="J28" i="1"/>
  <c r="J30" i="1"/>
  <c r="BR13" i="1"/>
  <c r="BF23" i="1"/>
  <c r="AT26" i="1"/>
  <c r="AT3" i="1"/>
  <c r="J11" i="1"/>
  <c r="BF17" i="1"/>
  <c r="CD18" i="1"/>
  <c r="V22" i="1"/>
  <c r="CD22" i="1"/>
  <c r="V24" i="1"/>
</calcChain>
</file>

<file path=xl/sharedStrings.xml><?xml version="1.0" encoding="utf-8"?>
<sst xmlns="http://schemas.openxmlformats.org/spreadsheetml/2006/main" count="101" uniqueCount="22">
  <si>
    <t>DATE</t>
  </si>
  <si>
    <t>SOLANA AVG PRICE</t>
  </si>
  <si>
    <t>IDLEMINE AVG PRICE</t>
  </si>
  <si>
    <t>BOUGHT TOKENS</t>
  </si>
  <si>
    <t xml:space="preserve"> BOUGHT VOLUME</t>
  </si>
  <si>
    <t>SOLD TOKENS</t>
  </si>
  <si>
    <t>SOLD VOLUME</t>
  </si>
  <si>
    <t>TOTAL VOLUME</t>
  </si>
  <si>
    <t>TRANSACTION FEE</t>
  </si>
  <si>
    <t>POSTION TOKENS</t>
  </si>
  <si>
    <t>POSITION VALUE</t>
  </si>
  <si>
    <t>SOL IN</t>
  </si>
  <si>
    <t>SOL OUT</t>
  </si>
  <si>
    <t>NET SOLANA VALUE</t>
  </si>
  <si>
    <t>NET SOL VALUE</t>
  </si>
  <si>
    <t>IDLE TOKEN MM BUNDLE 5: QNEhkXzvzim4q9qez9VDeq1DbXmWPsFxPabLx3TDHMY</t>
  </si>
  <si>
    <t>IDLE TOKEN MM BUNDLE 4: 27VbMeyuu6JepgZvJ8pVzCXTbFpM2S9roA9ZzZJFEdR6</t>
  </si>
  <si>
    <t>IDLE TOKEN MM BUNDLE 3: QDEaytsGYA1YHiakPTpBguM1nDLYZ5HQeN9zJCnnJn3</t>
  </si>
  <si>
    <t>IDLE TOKEN MM BUNDLE 2: EgRqhg4TSQe88gyQG5U23CJNvrEc43wMgDkKGj72jHdf</t>
  </si>
  <si>
    <t>IDLE TOKEN MM BUNDLE 1: Fa4FisgfyvuYJ4PnR95ziBzfUVXAAzYYB6hwRXZVmez5</t>
  </si>
  <si>
    <t>IDLE TOKEN MM BUNDLE: WJGJuSoFZt8S4jMGPaNGP3d4PZMsJghPQTVFWjhigdj</t>
  </si>
  <si>
    <t>IDLE TOKEN MM WALLET 1: CtsEHMJAGFws9xyJ2ZerZcuML8fnAZZMbQVpp6bjuzWz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</si>
</sst>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000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3" fillId="0" borderId="2" xfId="0" applyFont="1" applyBorder="1"/>
    <xf numFmtId="0" fontId="3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2" fontId="3" fillId="0" borderId="2" xfId="0" applyNumberFormat="1" applyFont="1" applyBorder="1" applyAlignment="1">
      <alignment horizontal="center" vertical="center"/>
    </xf>
    <xf numFmtId="0" fontId="3" fillId="0" borderId="0" xfId="0" applyFont="1"/>
    <xf numFmtId="0" fontId="3" fillId="0" borderId="2" xfId="1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2" xfId="2" applyFont="1" applyBorder="1"/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0" fontId="3" fillId="2" borderId="6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</cellXfs>
  <cellStyles count="3">
    <cellStyle name="Normal" xfId="0" builtinId="0"/>
    <cellStyle name="Normal 2" xfId="2"/>
    <cellStyle name="Normal 3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CI30"/>
  <sheetViews>
    <sheetView zoomScale="115" zoomScaleNormal="115" workbookViewId="0">
      <selection activeCell="P14" sqref="P14"/>
    </sheetView>
  </sheetViews>
  <sheetFormatPr defaultColWidth="12.42578125" defaultRowHeight="15.75" x14ac:dyDescent="0.25"/>
  <cols>
    <col min="1" max="1" width="11.28515625" style="1" bestFit="1" customWidth="1"/>
    <col min="2" max="2" width="18.28515625" style="1" bestFit="1" customWidth="1"/>
    <col min="3" max="3" width="19.42578125" style="1" bestFit="1" customWidth="1"/>
    <col min="4" max="4" width="12.42578125" style="1"/>
    <col min="5" max="5" width="11.5703125" style="1" bestFit="1" customWidth="1"/>
    <col min="6" max="6" width="17.5703125" style="1" bestFit="1" customWidth="1"/>
    <col min="7" max="7" width="19" style="1" bestFit="1" customWidth="1"/>
    <col min="8" max="8" width="14.140625" style="1" bestFit="1" customWidth="1"/>
    <col min="9" max="9" width="15" style="1" bestFit="1" customWidth="1"/>
    <col min="10" max="10" width="16.140625" style="1" bestFit="1" customWidth="1"/>
    <col min="11" max="11" width="17.7109375" style="1" bestFit="1" customWidth="1"/>
    <col min="12" max="12" width="16.85546875" style="1" bestFit="1" customWidth="1"/>
    <col min="13" max="14" width="13.7109375" style="1" bestFit="1" customWidth="1"/>
    <col min="15" max="15" width="19.85546875" style="1" bestFit="1" customWidth="1"/>
    <col min="16" max="16" width="20.5703125" style="1" customWidth="1"/>
    <col min="17" max="17" width="11.5703125" style="4" bestFit="1" customWidth="1"/>
    <col min="18" max="18" width="17.5703125" style="1" bestFit="1" customWidth="1"/>
    <col min="19" max="19" width="19" style="1" bestFit="1" customWidth="1"/>
    <col min="20" max="20" width="14.140625" style="1" bestFit="1" customWidth="1"/>
    <col min="21" max="21" width="15" style="1" bestFit="1" customWidth="1"/>
    <col min="22" max="22" width="16.140625" style="1" bestFit="1" customWidth="1"/>
    <col min="23" max="23" width="17.7109375" style="1" bestFit="1" customWidth="1"/>
    <col min="24" max="24" width="16.85546875" style="1" bestFit="1" customWidth="1"/>
    <col min="25" max="25" width="13.7109375" style="1" bestFit="1" customWidth="1"/>
    <col min="26" max="26" width="9.28515625" style="1" bestFit="1" customWidth="1"/>
    <col min="27" max="27" width="15.7109375" style="1" bestFit="1" customWidth="1"/>
    <col min="28" max="28" width="9.28515625" style="1" bestFit="1" customWidth="1"/>
    <col min="29" max="29" width="11.5703125" style="1" bestFit="1" customWidth="1"/>
    <col min="30" max="30" width="17.5703125" style="1" bestFit="1" customWidth="1"/>
    <col min="31" max="31" width="19" style="1" bestFit="1" customWidth="1"/>
    <col min="32" max="32" width="14.140625" style="1" bestFit="1" customWidth="1"/>
    <col min="33" max="33" width="15" style="1" bestFit="1" customWidth="1"/>
    <col min="34" max="34" width="16.140625" style="1" bestFit="1" customWidth="1"/>
    <col min="35" max="35" width="17.7109375" style="1" bestFit="1" customWidth="1"/>
    <col min="36" max="36" width="16.85546875" style="1" bestFit="1" customWidth="1"/>
    <col min="37" max="38" width="13.7109375" style="1" bestFit="1" customWidth="1"/>
    <col min="39" max="39" width="15.7109375" style="1" bestFit="1" customWidth="1"/>
    <col min="40" max="40" width="7.5703125" style="1" bestFit="1" customWidth="1"/>
    <col min="41" max="41" width="11.5703125" style="1" bestFit="1" customWidth="1"/>
    <col min="42" max="42" width="17.5703125" style="1" bestFit="1" customWidth="1"/>
    <col min="43" max="43" width="19" style="1" bestFit="1" customWidth="1"/>
    <col min="44" max="44" width="14.140625" style="1" bestFit="1" customWidth="1"/>
    <col min="45" max="45" width="15" style="1" bestFit="1" customWidth="1"/>
    <col min="46" max="46" width="16.140625" style="1" bestFit="1" customWidth="1"/>
    <col min="47" max="47" width="17.7109375" style="1" bestFit="1" customWidth="1"/>
    <col min="48" max="48" width="16.85546875" style="1" bestFit="1" customWidth="1"/>
    <col min="49" max="50" width="13.7109375" style="1" bestFit="1" customWidth="1"/>
    <col min="51" max="51" width="15.7109375" style="1" bestFit="1" customWidth="1"/>
    <col min="52" max="52" width="16.85546875" style="1" bestFit="1" customWidth="1"/>
    <col min="53" max="53" width="11.5703125" style="1" bestFit="1" customWidth="1"/>
    <col min="54" max="54" width="17.5703125" style="1" bestFit="1" customWidth="1"/>
    <col min="55" max="55" width="19" style="1" bestFit="1" customWidth="1"/>
    <col min="56" max="56" width="14.140625" style="1" bestFit="1" customWidth="1"/>
    <col min="57" max="57" width="15" style="1" bestFit="1" customWidth="1"/>
    <col min="58" max="58" width="16.140625" style="1" bestFit="1" customWidth="1"/>
    <col min="59" max="59" width="17.7109375" style="1" bestFit="1" customWidth="1"/>
    <col min="60" max="60" width="16.85546875" style="1" bestFit="1" customWidth="1"/>
    <col min="61" max="62" width="13.7109375" style="1" bestFit="1" customWidth="1"/>
    <col min="63" max="63" width="15.7109375" style="1" bestFit="1" customWidth="1"/>
    <col min="64" max="64" width="17.5703125" style="1" bestFit="1" customWidth="1"/>
    <col min="65" max="65" width="11.5703125" style="1" bestFit="1" customWidth="1"/>
    <col min="66" max="66" width="17.5703125" style="1" bestFit="1" customWidth="1"/>
    <col min="67" max="67" width="19" style="1" bestFit="1" customWidth="1"/>
    <col min="68" max="68" width="14.140625" style="1" bestFit="1" customWidth="1"/>
    <col min="69" max="69" width="15" style="1" bestFit="1" customWidth="1"/>
    <col min="70" max="70" width="16.140625" style="1" bestFit="1" customWidth="1"/>
    <col min="71" max="71" width="17.7109375" style="1" bestFit="1" customWidth="1"/>
    <col min="72" max="72" width="16.85546875" style="1" bestFit="1" customWidth="1"/>
    <col min="73" max="74" width="13.7109375" style="1" bestFit="1" customWidth="1"/>
    <col min="75" max="75" width="15.7109375" style="1" bestFit="1" customWidth="1"/>
    <col min="76" max="76" width="18.42578125" style="1" bestFit="1" customWidth="1"/>
    <col min="77" max="77" width="11.5703125" style="1" bestFit="1" customWidth="1"/>
    <col min="78" max="78" width="17.5703125" style="1" bestFit="1" customWidth="1"/>
    <col min="79" max="79" width="19" style="1" bestFit="1" customWidth="1"/>
    <col min="80" max="80" width="14.140625" style="1" bestFit="1" customWidth="1"/>
    <col min="81" max="81" width="15" style="1" bestFit="1" customWidth="1"/>
    <col min="82" max="82" width="16.140625" style="1" bestFit="1" customWidth="1"/>
    <col min="83" max="83" width="17.7109375" style="1" bestFit="1" customWidth="1"/>
    <col min="84" max="84" width="16.85546875" style="1" bestFit="1" customWidth="1"/>
    <col min="85" max="86" width="13.7109375" style="1" bestFit="1" customWidth="1"/>
    <col min="87" max="87" width="15.7109375" style="1" bestFit="1" customWidth="1"/>
    <col min="88" max="88" width="21.28515625" style="1" bestFit="1" customWidth="1"/>
    <col min="89" max="89" width="18.42578125" style="1" bestFit="1" customWidth="1"/>
    <col min="90" max="90" width="17.5703125" style="1" bestFit="1" customWidth="1"/>
    <col min="91" max="91" width="16.85546875" style="1" bestFit="1" customWidth="1"/>
    <col min="92" max="92" width="9" style="1" bestFit="1" customWidth="1"/>
    <col min="93" max="93" width="9.28515625" style="1" bestFit="1" customWidth="1"/>
    <col min="94" max="94" width="15.7109375" style="1" bestFit="1" customWidth="1"/>
    <col min="95" max="16384" width="12.42578125" style="1"/>
  </cols>
  <sheetData>
    <row r="1" spans="1:87" ht="15.75" customHeight="1" x14ac:dyDescent="0.25">
      <c r="E1" s="24" t="s">
        <v>21</v>
      </c>
      <c r="F1" s="25"/>
      <c r="G1" s="25"/>
      <c r="H1" s="25"/>
      <c r="I1" s="25"/>
      <c r="J1" s="25"/>
      <c r="K1" s="25"/>
      <c r="L1" s="25"/>
      <c r="M1" s="25"/>
      <c r="N1" s="25"/>
      <c r="O1" s="25"/>
      <c r="P1" s="2"/>
      <c r="Q1" s="26" t="s">
        <v>20</v>
      </c>
      <c r="R1" s="26"/>
      <c r="S1" s="26"/>
      <c r="T1" s="26"/>
      <c r="U1" s="26"/>
      <c r="V1" s="26"/>
      <c r="W1" s="26"/>
      <c r="X1" s="26"/>
      <c r="Y1" s="26"/>
      <c r="Z1" s="26"/>
      <c r="AA1" s="26"/>
      <c r="AB1" s="8"/>
      <c r="AC1" s="27" t="s">
        <v>19</v>
      </c>
      <c r="AD1" s="28"/>
      <c r="AE1" s="28"/>
      <c r="AF1" s="28"/>
      <c r="AG1" s="28"/>
      <c r="AH1" s="28"/>
      <c r="AI1" s="28"/>
      <c r="AJ1" s="28"/>
      <c r="AK1" s="28"/>
      <c r="AL1" s="28"/>
      <c r="AM1" s="29"/>
      <c r="AN1" s="8"/>
      <c r="AO1" s="27" t="s">
        <v>18</v>
      </c>
      <c r="AP1" s="28"/>
      <c r="AQ1" s="28"/>
      <c r="AR1" s="28"/>
      <c r="AS1" s="28"/>
      <c r="AT1" s="28"/>
      <c r="AU1" s="28"/>
      <c r="AV1" s="28"/>
      <c r="AW1" s="28"/>
      <c r="AX1" s="28"/>
      <c r="AY1" s="29"/>
      <c r="AZ1" s="8"/>
      <c r="BA1" s="27" t="s">
        <v>17</v>
      </c>
      <c r="BB1" s="28"/>
      <c r="BC1" s="28"/>
      <c r="BD1" s="28"/>
      <c r="BE1" s="28"/>
      <c r="BF1" s="28"/>
      <c r="BG1" s="28"/>
      <c r="BH1" s="28"/>
      <c r="BI1" s="28"/>
      <c r="BJ1" s="28"/>
      <c r="BK1" s="29"/>
      <c r="BL1" s="8"/>
      <c r="BM1" s="27" t="s">
        <v>16</v>
      </c>
      <c r="BN1" s="28"/>
      <c r="BO1" s="28"/>
      <c r="BP1" s="28"/>
      <c r="BQ1" s="28"/>
      <c r="BR1" s="28"/>
      <c r="BS1" s="28"/>
      <c r="BT1" s="28"/>
      <c r="BU1" s="28"/>
      <c r="BV1" s="28"/>
      <c r="BW1" s="29"/>
      <c r="BX1" s="8"/>
      <c r="BY1" s="27" t="s">
        <v>15</v>
      </c>
      <c r="BZ1" s="28"/>
      <c r="CA1" s="28"/>
      <c r="CB1" s="28"/>
      <c r="CC1" s="28"/>
      <c r="CD1" s="28"/>
      <c r="CE1" s="28"/>
      <c r="CF1" s="28"/>
      <c r="CG1" s="28"/>
      <c r="CH1" s="28"/>
      <c r="CI1" s="29"/>
    </row>
    <row r="2" spans="1:87" x14ac:dyDescent="0.25">
      <c r="A2" s="3" t="s">
        <v>0</v>
      </c>
      <c r="B2" s="3" t="s">
        <v>1</v>
      </c>
      <c r="C2" s="3" t="s">
        <v>2</v>
      </c>
      <c r="E2" s="9" t="s">
        <v>0</v>
      </c>
      <c r="F2" s="9" t="s">
        <v>3</v>
      </c>
      <c r="G2" s="9" t="s">
        <v>4</v>
      </c>
      <c r="H2" s="9" t="s">
        <v>5</v>
      </c>
      <c r="I2" s="9" t="s">
        <v>6</v>
      </c>
      <c r="J2" s="9" t="s">
        <v>7</v>
      </c>
      <c r="K2" s="9" t="s">
        <v>9</v>
      </c>
      <c r="L2" s="9" t="s">
        <v>10</v>
      </c>
      <c r="M2" s="9" t="s">
        <v>11</v>
      </c>
      <c r="N2" s="9" t="s">
        <v>12</v>
      </c>
      <c r="O2" s="9" t="s">
        <v>13</v>
      </c>
      <c r="P2" s="4"/>
      <c r="Q2" s="9" t="s">
        <v>0</v>
      </c>
      <c r="R2" s="9" t="s">
        <v>3</v>
      </c>
      <c r="S2" s="9" t="s">
        <v>4</v>
      </c>
      <c r="T2" s="9" t="s">
        <v>5</v>
      </c>
      <c r="U2" s="9" t="s">
        <v>6</v>
      </c>
      <c r="V2" s="9" t="s">
        <v>7</v>
      </c>
      <c r="W2" s="9" t="s">
        <v>9</v>
      </c>
      <c r="X2" s="9" t="s">
        <v>10</v>
      </c>
      <c r="Y2" s="9" t="s">
        <v>11</v>
      </c>
      <c r="Z2" s="9" t="s">
        <v>12</v>
      </c>
      <c r="AA2" s="9" t="s">
        <v>14</v>
      </c>
      <c r="AB2" s="8"/>
      <c r="AC2" s="9" t="s">
        <v>0</v>
      </c>
      <c r="AD2" s="9" t="s">
        <v>3</v>
      </c>
      <c r="AE2" s="9" t="s">
        <v>4</v>
      </c>
      <c r="AF2" s="9" t="s">
        <v>5</v>
      </c>
      <c r="AG2" s="9" t="s">
        <v>6</v>
      </c>
      <c r="AH2" s="9" t="s">
        <v>7</v>
      </c>
      <c r="AI2" s="9" t="s">
        <v>9</v>
      </c>
      <c r="AJ2" s="9" t="s">
        <v>10</v>
      </c>
      <c r="AK2" s="9" t="s">
        <v>11</v>
      </c>
      <c r="AL2" s="9" t="s">
        <v>12</v>
      </c>
      <c r="AM2" s="9" t="s">
        <v>14</v>
      </c>
      <c r="AN2" s="8"/>
      <c r="AO2" s="9" t="s">
        <v>0</v>
      </c>
      <c r="AP2" s="9" t="s">
        <v>3</v>
      </c>
      <c r="AQ2" s="9" t="s">
        <v>4</v>
      </c>
      <c r="AR2" s="9" t="s">
        <v>5</v>
      </c>
      <c r="AS2" s="9" t="s">
        <v>6</v>
      </c>
      <c r="AT2" s="9" t="s">
        <v>7</v>
      </c>
      <c r="AU2" s="9" t="s">
        <v>9</v>
      </c>
      <c r="AV2" s="9" t="s">
        <v>10</v>
      </c>
      <c r="AW2" s="9" t="s">
        <v>11</v>
      </c>
      <c r="AX2" s="9" t="s">
        <v>12</v>
      </c>
      <c r="AY2" s="9" t="s">
        <v>14</v>
      </c>
      <c r="AZ2" s="8"/>
      <c r="BA2" s="9" t="s">
        <v>0</v>
      </c>
      <c r="BB2" s="9" t="s">
        <v>3</v>
      </c>
      <c r="BC2" s="9" t="s">
        <v>4</v>
      </c>
      <c r="BD2" s="9" t="s">
        <v>5</v>
      </c>
      <c r="BE2" s="9" t="s">
        <v>6</v>
      </c>
      <c r="BF2" s="9" t="s">
        <v>7</v>
      </c>
      <c r="BG2" s="9" t="s">
        <v>9</v>
      </c>
      <c r="BH2" s="9" t="s">
        <v>10</v>
      </c>
      <c r="BI2" s="9" t="s">
        <v>11</v>
      </c>
      <c r="BJ2" s="9" t="s">
        <v>12</v>
      </c>
      <c r="BK2" s="9" t="s">
        <v>14</v>
      </c>
      <c r="BL2" s="8"/>
      <c r="BM2" s="9" t="s">
        <v>0</v>
      </c>
      <c r="BN2" s="9" t="s">
        <v>3</v>
      </c>
      <c r="BO2" s="9" t="s">
        <v>4</v>
      </c>
      <c r="BP2" s="9" t="s">
        <v>5</v>
      </c>
      <c r="BQ2" s="9" t="s">
        <v>6</v>
      </c>
      <c r="BR2" s="9" t="s">
        <v>7</v>
      </c>
      <c r="BS2" s="9" t="s">
        <v>9</v>
      </c>
      <c r="BT2" s="9" t="s">
        <v>10</v>
      </c>
      <c r="BU2" s="9" t="s">
        <v>11</v>
      </c>
      <c r="BV2" s="9" t="s">
        <v>12</v>
      </c>
      <c r="BW2" s="9" t="s">
        <v>14</v>
      </c>
      <c r="BX2" s="8"/>
      <c r="BY2" s="9" t="s">
        <v>0</v>
      </c>
      <c r="BZ2" s="9" t="s">
        <v>3</v>
      </c>
      <c r="CA2" s="9" t="s">
        <v>4</v>
      </c>
      <c r="CB2" s="9" t="s">
        <v>5</v>
      </c>
      <c r="CC2" s="9" t="s">
        <v>6</v>
      </c>
      <c r="CD2" s="9" t="s">
        <v>7</v>
      </c>
      <c r="CE2" s="9" t="s">
        <v>9</v>
      </c>
      <c r="CF2" s="9" t="s">
        <v>10</v>
      </c>
      <c r="CG2" s="9" t="s">
        <v>11</v>
      </c>
      <c r="CH2" s="9" t="s">
        <v>12</v>
      </c>
      <c r="CI2" s="9" t="s">
        <v>14</v>
      </c>
    </row>
    <row r="3" spans="1:87" x14ac:dyDescent="0.25">
      <c r="A3" s="5">
        <v>45689</v>
      </c>
      <c r="B3" s="11">
        <v>105.054</v>
      </c>
      <c r="C3" s="11">
        <v>2.9179999999999998E-5</v>
      </c>
      <c r="E3" s="10">
        <v>45689</v>
      </c>
      <c r="F3" s="11">
        <v>3822727.2490462931</v>
      </c>
      <c r="G3" s="12">
        <f>F3*C3*B3</f>
        <v>11718.477566133804</v>
      </c>
      <c r="H3" s="11">
        <v>3838706.8496899628</v>
      </c>
      <c r="I3" s="12">
        <f>H3*C3*B3</f>
        <v>11767.46264392227</v>
      </c>
      <c r="J3" s="12">
        <f>G3+I3</f>
        <v>23485.940210056076</v>
      </c>
      <c r="K3" s="12">
        <f t="shared" ref="K3:K30" si="0">F3-H3</f>
        <v>-15979.600643669721</v>
      </c>
      <c r="L3" s="12">
        <f t="shared" ref="L3:L30" si="1">K3*C3*B3</f>
        <v>-48.985077788465901</v>
      </c>
      <c r="M3" s="11">
        <v>112.263983814</v>
      </c>
      <c r="N3" s="11">
        <v>112.49721431499999</v>
      </c>
      <c r="O3" s="12">
        <f>M3-N3</f>
        <v>-0.23323050099999421</v>
      </c>
      <c r="P3" s="6"/>
      <c r="Q3" s="10">
        <v>45689</v>
      </c>
      <c r="R3" s="12">
        <v>4310063</v>
      </c>
      <c r="S3" s="12">
        <f t="shared" ref="S3:S30" si="2">R3*C3*B3</f>
        <v>13212.393478170359</v>
      </c>
      <c r="T3" s="12">
        <v>4344395</v>
      </c>
      <c r="U3" s="12">
        <f t="shared" ref="U3:U30" si="3">T3*C3*B3</f>
        <v>13317.6373905894</v>
      </c>
      <c r="V3" s="12">
        <f>S3+U3</f>
        <v>26530.030868759757</v>
      </c>
      <c r="W3" s="12">
        <f>R3-T3</f>
        <v>-34332</v>
      </c>
      <c r="X3" s="12">
        <f t="shared" ref="X3:X30" si="4">W3*C3*B3</f>
        <v>-105.24391241904</v>
      </c>
      <c r="Y3" s="12">
        <v>127.1773</v>
      </c>
      <c r="Z3" s="12">
        <v>126.75960000000001</v>
      </c>
      <c r="AA3" s="12">
        <f>Y3-Z3</f>
        <v>0.41769999999999641</v>
      </c>
      <c r="AB3" s="8"/>
      <c r="AC3" s="10">
        <v>45689</v>
      </c>
      <c r="AD3" s="12">
        <v>15591152.787001191</v>
      </c>
      <c r="AE3" s="12">
        <f t="shared" ref="AE3:AE30" si="5">AD3*B3*C3</f>
        <v>47794.300315362481</v>
      </c>
      <c r="AF3" s="12">
        <v>15589406.86803353</v>
      </c>
      <c r="AG3" s="12">
        <f t="shared" ref="AG3:AG30" si="6">AF3*B3*C3</f>
        <v>47788.948243158025</v>
      </c>
      <c r="AH3" s="12">
        <f>AE3+AG3</f>
        <v>95583.248558520514</v>
      </c>
      <c r="AI3" s="12">
        <f t="shared" ref="AI3:AI30" si="7">AD3-AF3</f>
        <v>1745.9189676605165</v>
      </c>
      <c r="AJ3" s="12">
        <f t="shared" ref="AJ3:AJ30" si="8">AI3*B3*C3</f>
        <v>5.3520722044507778</v>
      </c>
      <c r="AK3" s="12">
        <v>456.45871478499998</v>
      </c>
      <c r="AL3" s="12">
        <v>458.81646431000001</v>
      </c>
      <c r="AM3" s="12">
        <f>AK3-AL3</f>
        <v>-2.3577495250000311</v>
      </c>
      <c r="AN3" s="8"/>
      <c r="AO3" s="10">
        <v>45689</v>
      </c>
      <c r="AP3" s="12">
        <v>15096161.94429747</v>
      </c>
      <c r="AQ3" s="12">
        <f t="shared" ref="AQ3:AQ30" si="9">AP3*B3*C3</f>
        <v>46276.917905431881</v>
      </c>
      <c r="AR3" s="12">
        <v>15072705.34701984</v>
      </c>
      <c r="AS3" s="12">
        <f t="shared" ref="AS3:AS30" si="10">AR3*B3*C3</f>
        <v>46205.012276003494</v>
      </c>
      <c r="AT3" s="12">
        <f>AQ3+AS3</f>
        <v>92481.930181435368</v>
      </c>
      <c r="AU3" s="12">
        <f t="shared" ref="AU3:AU30" si="11">AP3-AR3</f>
        <v>23456.597277630121</v>
      </c>
      <c r="AV3" s="12">
        <f t="shared" ref="AV3:AV30" si="12">AU3*B3*C3</f>
        <v>71.905629428393226</v>
      </c>
      <c r="AW3" s="12">
        <v>441.59539620499999</v>
      </c>
      <c r="AX3" s="12">
        <v>444.48827352500001</v>
      </c>
      <c r="AY3" s="12">
        <f>AW3-AX3</f>
        <v>-2.8928773200000251</v>
      </c>
      <c r="AZ3" s="8"/>
      <c r="BA3" s="10">
        <v>45689</v>
      </c>
      <c r="BB3" s="12">
        <v>17686504</v>
      </c>
      <c r="BC3" s="12">
        <f t="shared" ref="BC3:BC30" si="13">BB3*B3*C3</f>
        <v>54217.548583682881</v>
      </c>
      <c r="BD3" s="12">
        <v>17659532</v>
      </c>
      <c r="BE3" s="12">
        <f t="shared" ref="BE3:BE30" si="14">BD3*B3*C3</f>
        <v>54134.866572563034</v>
      </c>
      <c r="BF3" s="12">
        <f>BC3+BE3</f>
        <v>108352.41515624592</v>
      </c>
      <c r="BG3" s="12">
        <f t="shared" ref="BG3:BG30" si="15">BB3-BD3</f>
        <v>26972</v>
      </c>
      <c r="BH3" s="12">
        <f t="shared" ref="BH3:BH30" si="16">BG3*B3*C3</f>
        <v>82.682011119839999</v>
      </c>
      <c r="BI3" s="13">
        <v>517.22789999999998</v>
      </c>
      <c r="BJ3" s="12">
        <v>520.63220000000001</v>
      </c>
      <c r="BK3" s="12">
        <f>BI3-BJ3</f>
        <v>-3.4043000000000347</v>
      </c>
      <c r="BL3" s="8"/>
      <c r="BM3" s="10">
        <v>45689</v>
      </c>
      <c r="BN3" s="12">
        <v>16363341</v>
      </c>
      <c r="BO3" s="12">
        <f t="shared" ref="BO3:BO30" si="17">BN3*B3*C3</f>
        <v>50161.424533580517</v>
      </c>
      <c r="BP3" s="12">
        <v>16359242</v>
      </c>
      <c r="BQ3" s="12">
        <f t="shared" ref="BQ3:BQ30" si="18">BP3*B3*C3</f>
        <v>50148.859148604242</v>
      </c>
      <c r="BR3" s="12">
        <f>BO3+BQ3</f>
        <v>100310.28368218476</v>
      </c>
      <c r="BS3" s="12">
        <f t="shared" ref="BS3:BS30" si="19">BN3-BP3</f>
        <v>4099</v>
      </c>
      <c r="BT3" s="12">
        <f t="shared" ref="BT3:BT30" si="20">BS3*B3*C3</f>
        <v>12.565384976280001</v>
      </c>
      <c r="BU3" s="12">
        <v>478.99450000000002</v>
      </c>
      <c r="BV3" s="12">
        <v>481.5292</v>
      </c>
      <c r="BW3" s="12">
        <f>BU3-BV3</f>
        <v>-2.5346999999999866</v>
      </c>
      <c r="BX3" s="8"/>
      <c r="BY3" s="10">
        <v>45689</v>
      </c>
      <c r="BZ3" s="14">
        <v>14279072</v>
      </c>
      <c r="CA3" s="12">
        <f t="shared" ref="CA3:CA30" si="21">BZ3*B3*C3</f>
        <v>43772.148520131836</v>
      </c>
      <c r="CB3" s="14">
        <v>14278219</v>
      </c>
      <c r="CC3" s="12">
        <f t="shared" ref="CC3:CC30" si="22">CB3*B3*C3</f>
        <v>43769.53366934268</v>
      </c>
      <c r="CD3" s="12">
        <f>CA3+CC3</f>
        <v>87541.682189474523</v>
      </c>
      <c r="CE3" s="12">
        <f t="shared" ref="CE3:CE30" si="23">BZ3-CB3</f>
        <v>853</v>
      </c>
      <c r="CF3" s="12">
        <f t="shared" ref="CF3:CF30" si="24">CE3*B3*C3</f>
        <v>2.6148507891600001</v>
      </c>
      <c r="CG3" s="14">
        <v>418.55410000000001</v>
      </c>
      <c r="CH3" s="14">
        <v>420.69049999999999</v>
      </c>
      <c r="CI3" s="12">
        <f>CG3-CH3</f>
        <v>-2.1363999999999805</v>
      </c>
    </row>
    <row r="4" spans="1:87" x14ac:dyDescent="0.25">
      <c r="A4" s="5">
        <v>45690</v>
      </c>
      <c r="B4" s="11">
        <v>99.596000000000004</v>
      </c>
      <c r="C4" s="11">
        <v>3.0020000000000001E-5</v>
      </c>
      <c r="E4" s="10">
        <v>45690</v>
      </c>
      <c r="F4" s="11">
        <v>4159818.2717647632</v>
      </c>
      <c r="G4" s="12">
        <f t="shared" ref="G4:G30" si="25">F4*C4*B4</f>
        <v>12437.323843052394</v>
      </c>
      <c r="H4" s="11">
        <v>4172805.1995347328</v>
      </c>
      <c r="I4" s="12">
        <f t="shared" ref="I4:I30" si="26">H4*C4*B4</f>
        <v>12476.153093718896</v>
      </c>
      <c r="J4" s="12">
        <f t="shared" ref="J4:J30" si="27">G4+I4</f>
        <v>24913.476936771291</v>
      </c>
      <c r="K4" s="12">
        <f t="shared" si="0"/>
        <v>-12986.927769969683</v>
      </c>
      <c r="L4" s="12">
        <f t="shared" si="1"/>
        <v>-38.829250666500577</v>
      </c>
      <c r="M4" s="11">
        <v>122.384296769</v>
      </c>
      <c r="N4" s="11">
        <v>122.765457744</v>
      </c>
      <c r="O4" s="12">
        <f t="shared" ref="O4:O30" si="28">M4-N4</f>
        <v>-0.38116097500000024</v>
      </c>
      <c r="P4" s="6"/>
      <c r="Q4" s="10">
        <v>45690</v>
      </c>
      <c r="R4" s="12">
        <v>4573928</v>
      </c>
      <c r="S4" s="12">
        <f t="shared" si="2"/>
        <v>13675.458891301761</v>
      </c>
      <c r="T4" s="12">
        <v>4550145</v>
      </c>
      <c r="U4" s="12">
        <f t="shared" si="3"/>
        <v>13604.350767428399</v>
      </c>
      <c r="V4" s="12">
        <f t="shared" ref="V4:V27" si="29">S4+U4</f>
        <v>27279.809658730162</v>
      </c>
      <c r="W4" s="12">
        <f>R4-T4</f>
        <v>23783</v>
      </c>
      <c r="X4" s="12">
        <f t="shared" si="4"/>
        <v>71.108123873360014</v>
      </c>
      <c r="Y4" s="12">
        <v>133.54329999999999</v>
      </c>
      <c r="Z4" s="12">
        <v>134.9177</v>
      </c>
      <c r="AA4" s="12">
        <f t="shared" ref="AA4:AA30" si="30">Y4-Z4</f>
        <v>-1.3744000000000085</v>
      </c>
      <c r="AB4" s="8"/>
      <c r="AC4" s="10">
        <v>45690</v>
      </c>
      <c r="AD4" s="12">
        <v>18771477.236593589</v>
      </c>
      <c r="AE4" s="12">
        <f t="shared" si="5"/>
        <v>56124.31268661037</v>
      </c>
      <c r="AF4" s="12">
        <v>18800421.667348951</v>
      </c>
      <c r="AG4" s="12">
        <f t="shared" si="6"/>
        <v>56210.852827366209</v>
      </c>
      <c r="AH4" s="12">
        <f t="shared" ref="AH4:AH27" si="31">AE4+AG4</f>
        <v>112335.16551397658</v>
      </c>
      <c r="AI4" s="12">
        <f t="shared" si="7"/>
        <v>-28944.430755361915</v>
      </c>
      <c r="AJ4" s="12">
        <f t="shared" si="8"/>
        <v>-86.54014075584098</v>
      </c>
      <c r="AK4" s="12">
        <v>552.01716111399992</v>
      </c>
      <c r="AL4" s="12">
        <v>553.96045682500005</v>
      </c>
      <c r="AM4" s="12">
        <f t="shared" ref="AM4:AM30" si="32">AK4-AL4</f>
        <v>-1.9432957110001325</v>
      </c>
      <c r="AN4" s="8"/>
      <c r="AO4" s="10">
        <v>45690</v>
      </c>
      <c r="AP4" s="12">
        <v>18686407.314521179</v>
      </c>
      <c r="AQ4" s="12">
        <f t="shared" si="9"/>
        <v>55869.96451536948</v>
      </c>
      <c r="AR4" s="12">
        <v>18683700.778457511</v>
      </c>
      <c r="AS4" s="12">
        <f t="shared" si="10"/>
        <v>55861.872319192255</v>
      </c>
      <c r="AT4" s="12">
        <f t="shared" ref="AT4:AT27" si="33">AQ4+AS4</f>
        <v>111731.83683456173</v>
      </c>
      <c r="AU4" s="12">
        <f t="shared" si="11"/>
        <v>2706.5360636673868</v>
      </c>
      <c r="AV4" s="12">
        <f t="shared" si="12"/>
        <v>8.0921961772264517</v>
      </c>
      <c r="AW4" s="12">
        <v>548.72687438000003</v>
      </c>
      <c r="AX4" s="12">
        <v>551.56788337500006</v>
      </c>
      <c r="AY4" s="12">
        <f t="shared" ref="AY4:AY30" si="34">AW4-AX4</f>
        <v>-2.8410089950000383</v>
      </c>
      <c r="AZ4" s="8"/>
      <c r="BA4" s="10">
        <v>45690</v>
      </c>
      <c r="BB4" s="12">
        <v>18686514</v>
      </c>
      <c r="BC4" s="12">
        <f t="shared" si="13"/>
        <v>55870.283491286886</v>
      </c>
      <c r="BD4" s="12">
        <v>18713471</v>
      </c>
      <c r="BE4" s="12">
        <f t="shared" si="14"/>
        <v>55950.881468634325</v>
      </c>
      <c r="BF4" s="12">
        <f t="shared" ref="BF4:BF27" si="35">BC4+BE4</f>
        <v>111821.16495992121</v>
      </c>
      <c r="BG4" s="12">
        <f t="shared" si="15"/>
        <v>-26957</v>
      </c>
      <c r="BH4" s="12">
        <f t="shared" si="16"/>
        <v>-80.597977347440008</v>
      </c>
      <c r="BI4" s="12">
        <v>549.57320000000004</v>
      </c>
      <c r="BJ4" s="12">
        <v>551.56790000000001</v>
      </c>
      <c r="BK4" s="12">
        <f t="shared" ref="BK4:BK30" si="36">BI4-BJ4</f>
        <v>-1.9946999999999662</v>
      </c>
      <c r="BL4" s="8"/>
      <c r="BM4" s="10">
        <v>45690</v>
      </c>
      <c r="BN4" s="12">
        <v>18645012</v>
      </c>
      <c r="BO4" s="12">
        <f t="shared" si="17"/>
        <v>55746.197826863041</v>
      </c>
      <c r="BP4" s="12">
        <v>18671220</v>
      </c>
      <c r="BQ4" s="12">
        <f t="shared" si="18"/>
        <v>55824.556390142403</v>
      </c>
      <c r="BR4" s="12">
        <f t="shared" ref="BR4:BR27" si="37">BO4+BQ4</f>
        <v>111570.75421700545</v>
      </c>
      <c r="BS4" s="12">
        <f t="shared" si="19"/>
        <v>-26208</v>
      </c>
      <c r="BT4" s="12">
        <f t="shared" si="20"/>
        <v>-78.358563279359998</v>
      </c>
      <c r="BU4" s="12">
        <v>548.36159999999995</v>
      </c>
      <c r="BV4" s="12">
        <v>550.36059999999998</v>
      </c>
      <c r="BW4" s="12">
        <f t="shared" ref="BW4:BW30" si="38">BU4-BV4</f>
        <v>-1.9990000000000236</v>
      </c>
      <c r="BX4" s="8"/>
      <c r="BY4" s="10">
        <v>45690</v>
      </c>
      <c r="BZ4" s="14">
        <v>18644527</v>
      </c>
      <c r="CA4" s="12">
        <f t="shared" si="21"/>
        <v>55744.747738981838</v>
      </c>
      <c r="CB4" s="14">
        <v>18675926</v>
      </c>
      <c r="CC4" s="12">
        <f t="shared" si="22"/>
        <v>55838.626727397925</v>
      </c>
      <c r="CD4" s="12">
        <f t="shared" ref="CD4:CD27" si="39">CA4+CC4</f>
        <v>111583.37446637976</v>
      </c>
      <c r="CE4" s="12">
        <f t="shared" si="23"/>
        <v>-31399</v>
      </c>
      <c r="CF4" s="12">
        <f t="shared" si="24"/>
        <v>-93.878988416080006</v>
      </c>
      <c r="CG4" s="14">
        <v>548.52009999999996</v>
      </c>
      <c r="CH4" s="14">
        <v>550.37929999999994</v>
      </c>
      <c r="CI4" s="12">
        <f t="shared" ref="CI4:CI30" si="40">CG4-CH4</f>
        <v>-1.8591999999999871</v>
      </c>
    </row>
    <row r="5" spans="1:87" x14ac:dyDescent="0.25">
      <c r="A5" s="5">
        <v>45691</v>
      </c>
      <c r="B5" s="11">
        <v>104.961</v>
      </c>
      <c r="C5" s="11">
        <v>2.9110000000000001E-5</v>
      </c>
      <c r="E5" s="10">
        <v>45691</v>
      </c>
      <c r="F5" s="11">
        <v>1998749.112711824</v>
      </c>
      <c r="G5" s="12">
        <f t="shared" si="25"/>
        <v>6107.0074405791547</v>
      </c>
      <c r="H5" s="11">
        <v>1891630.1098736839</v>
      </c>
      <c r="I5" s="12">
        <f t="shared" si="26"/>
        <v>5779.7144635869699</v>
      </c>
      <c r="J5" s="12">
        <f t="shared" si="27"/>
        <v>11886.721904166125</v>
      </c>
      <c r="K5" s="12">
        <f t="shared" si="0"/>
        <v>107119.00283814012</v>
      </c>
      <c r="L5" s="12">
        <f t="shared" si="1"/>
        <v>327.29297699218506</v>
      </c>
      <c r="M5" s="11">
        <v>55.367900814000002</v>
      </c>
      <c r="N5" s="11">
        <v>58.833277228</v>
      </c>
      <c r="O5" s="12">
        <f t="shared" si="28"/>
        <v>-3.4653764139999979</v>
      </c>
      <c r="P5" s="6"/>
      <c r="Q5" s="10">
        <v>45691</v>
      </c>
      <c r="R5" s="12">
        <v>4816708</v>
      </c>
      <c r="S5" s="12">
        <f t="shared" si="2"/>
        <v>14717.040476974678</v>
      </c>
      <c r="T5" s="12">
        <v>4783732</v>
      </c>
      <c r="U5" s="12">
        <f t="shared" si="3"/>
        <v>14616.28512149772</v>
      </c>
      <c r="V5" s="12">
        <f t="shared" si="29"/>
        <v>29333.325598472398</v>
      </c>
      <c r="W5" s="12">
        <f t="shared" ref="W5:W27" si="41">R5-T5</f>
        <v>32976</v>
      </c>
      <c r="X5" s="12">
        <f t="shared" si="4"/>
        <v>100.75535547696001</v>
      </c>
      <c r="Y5" s="13">
        <v>140.88030000000001</v>
      </c>
      <c r="Z5" s="12">
        <v>142.61349999999999</v>
      </c>
      <c r="AA5" s="12">
        <f t="shared" si="30"/>
        <v>-1.7331999999999823</v>
      </c>
      <c r="AB5" s="8"/>
      <c r="AC5" s="10">
        <v>45691</v>
      </c>
      <c r="AD5" s="12">
        <v>14720709.437995899</v>
      </c>
      <c r="AE5" s="12">
        <f t="shared" si="5"/>
        <v>44977.872158488506</v>
      </c>
      <c r="AF5" s="12">
        <v>14717414.664463021</v>
      </c>
      <c r="AG5" s="12">
        <f t="shared" si="6"/>
        <v>44967.805258970024</v>
      </c>
      <c r="AH5" s="12">
        <f t="shared" si="31"/>
        <v>89945.67741745853</v>
      </c>
      <c r="AI5" s="12">
        <f t="shared" si="7"/>
        <v>3294.7735328786075</v>
      </c>
      <c r="AJ5" s="12">
        <f t="shared" si="8"/>
        <v>10.066899518475966</v>
      </c>
      <c r="AK5" s="12">
        <v>433.73468450099989</v>
      </c>
      <c r="AL5" s="12">
        <v>435.99812890999999</v>
      </c>
      <c r="AM5" s="12">
        <f t="shared" si="32"/>
        <v>-2.2634444090001011</v>
      </c>
      <c r="AN5" s="8"/>
      <c r="AO5" s="10">
        <v>45691</v>
      </c>
      <c r="AP5" s="12">
        <v>15046443.626651321</v>
      </c>
      <c r="AQ5" s="12">
        <f t="shared" si="9"/>
        <v>45973.125190056191</v>
      </c>
      <c r="AR5" s="12">
        <v>15071828.1165211</v>
      </c>
      <c r="AS5" s="12">
        <f t="shared" si="10"/>
        <v>46050.685333810165</v>
      </c>
      <c r="AT5" s="12">
        <f t="shared" si="33"/>
        <v>92023.810523866356</v>
      </c>
      <c r="AU5" s="12">
        <f t="shared" si="11"/>
        <v>-25384.489869778976</v>
      </c>
      <c r="AV5" s="12">
        <f t="shared" si="12"/>
        <v>-77.56014375396866</v>
      </c>
      <c r="AW5" s="12">
        <v>444.15866964399999</v>
      </c>
      <c r="AX5" s="12">
        <v>445.65006231000001</v>
      </c>
      <c r="AY5" s="12">
        <f t="shared" si="34"/>
        <v>-1.4913926660000243</v>
      </c>
      <c r="AZ5" s="8"/>
      <c r="BA5" s="10">
        <v>45691</v>
      </c>
      <c r="BB5" s="12">
        <v>14963740</v>
      </c>
      <c r="BC5" s="12">
        <f t="shared" si="13"/>
        <v>45720.431312615394</v>
      </c>
      <c r="BD5" s="12">
        <v>14955213</v>
      </c>
      <c r="BE5" s="12">
        <f t="shared" si="14"/>
        <v>45694.377791383231</v>
      </c>
      <c r="BF5" s="12">
        <f t="shared" si="35"/>
        <v>91414.809103998618</v>
      </c>
      <c r="BG5" s="12">
        <f t="shared" si="15"/>
        <v>8527</v>
      </c>
      <c r="BH5" s="12">
        <f t="shared" si="16"/>
        <v>26.053521232170002</v>
      </c>
      <c r="BI5" s="12">
        <v>440.77010000000001</v>
      </c>
      <c r="BJ5" s="12">
        <v>443.2278</v>
      </c>
      <c r="BK5" s="12">
        <f t="shared" si="36"/>
        <v>-2.4576999999999884</v>
      </c>
      <c r="BL5" s="8"/>
      <c r="BM5" s="10">
        <v>45691</v>
      </c>
      <c r="BN5" s="12">
        <v>16356109</v>
      </c>
      <c r="BO5" s="12">
        <f t="shared" si="17"/>
        <v>49974.696036963396</v>
      </c>
      <c r="BP5" s="12">
        <v>16363223</v>
      </c>
      <c r="BQ5" s="12">
        <f t="shared" si="18"/>
        <v>49996.432257210334</v>
      </c>
      <c r="BR5" s="12">
        <f t="shared" si="37"/>
        <v>99971.12829417373</v>
      </c>
      <c r="BS5" s="12">
        <f t="shared" si="19"/>
        <v>-7114</v>
      </c>
      <c r="BT5" s="12">
        <f t="shared" si="20"/>
        <v>-21.73622024694</v>
      </c>
      <c r="BU5" s="12">
        <v>482.2946</v>
      </c>
      <c r="BV5" s="12">
        <v>484.4973</v>
      </c>
      <c r="BW5" s="12">
        <f t="shared" si="38"/>
        <v>-2.202699999999993</v>
      </c>
      <c r="BX5" s="8"/>
      <c r="BY5" s="10">
        <v>45691</v>
      </c>
      <c r="BZ5" s="14">
        <v>16488634</v>
      </c>
      <c r="CA5" s="12">
        <f t="shared" si="21"/>
        <v>50379.614871406142</v>
      </c>
      <c r="CB5" s="14">
        <v>16485909</v>
      </c>
      <c r="CC5" s="12">
        <f t="shared" si="22"/>
        <v>50371.288866321389</v>
      </c>
      <c r="CD5" s="12">
        <f t="shared" si="39"/>
        <v>100750.90373772752</v>
      </c>
      <c r="CE5" s="12">
        <f t="shared" si="23"/>
        <v>2725</v>
      </c>
      <c r="CF5" s="12">
        <f t="shared" si="24"/>
        <v>8.3260050847499993</v>
      </c>
      <c r="CG5" s="14">
        <v>485.92329999999998</v>
      </c>
      <c r="CH5" s="14">
        <v>488.43200000000002</v>
      </c>
      <c r="CI5" s="12">
        <f t="shared" si="40"/>
        <v>-2.508700000000033</v>
      </c>
    </row>
    <row r="6" spans="1:87" x14ac:dyDescent="0.25">
      <c r="A6" s="5">
        <v>45692</v>
      </c>
      <c r="B6" s="11">
        <v>98.775999999999996</v>
      </c>
      <c r="C6" s="11">
        <v>3.0380000000000001E-5</v>
      </c>
      <c r="E6" s="10">
        <v>45692</v>
      </c>
      <c r="F6" s="11">
        <v>0</v>
      </c>
      <c r="G6" s="12">
        <f t="shared" si="25"/>
        <v>0</v>
      </c>
      <c r="H6" s="11">
        <v>0</v>
      </c>
      <c r="I6" s="12">
        <f t="shared" si="26"/>
        <v>0</v>
      </c>
      <c r="J6" s="12">
        <f t="shared" si="27"/>
        <v>0</v>
      </c>
      <c r="K6" s="12">
        <f t="shared" si="0"/>
        <v>0</v>
      </c>
      <c r="L6" s="12">
        <f t="shared" si="1"/>
        <v>0</v>
      </c>
      <c r="M6" s="11">
        <v>0</v>
      </c>
      <c r="N6" s="11">
        <v>0</v>
      </c>
      <c r="O6" s="12">
        <f t="shared" si="28"/>
        <v>0</v>
      </c>
      <c r="P6" s="6"/>
      <c r="Q6" s="10">
        <v>45692</v>
      </c>
      <c r="R6" s="12">
        <v>4772026</v>
      </c>
      <c r="S6" s="12">
        <f t="shared" si="2"/>
        <v>14319.966628546879</v>
      </c>
      <c r="T6" s="12">
        <v>4898073</v>
      </c>
      <c r="U6" s="12">
        <f t="shared" si="3"/>
        <v>14698.210341726239</v>
      </c>
      <c r="V6" s="12">
        <f t="shared" si="29"/>
        <v>29018.176970273118</v>
      </c>
      <c r="W6" s="12">
        <f t="shared" si="41"/>
        <v>-126047</v>
      </c>
      <c r="X6" s="12">
        <f t="shared" si="4"/>
        <v>-378.24371317935999</v>
      </c>
      <c r="Y6" s="12">
        <v>151.29689999999999</v>
      </c>
      <c r="Z6" s="12">
        <v>148.17150000000001</v>
      </c>
      <c r="AA6" s="12">
        <f t="shared" si="30"/>
        <v>3.1253999999999849</v>
      </c>
      <c r="AB6" s="8"/>
      <c r="AC6" s="10">
        <v>45692</v>
      </c>
      <c r="AD6" s="12">
        <v>20743631.20679608</v>
      </c>
      <c r="AE6" s="12">
        <f t="shared" si="5"/>
        <v>62247.797190586032</v>
      </c>
      <c r="AF6" s="12">
        <v>20714723.615245659</v>
      </c>
      <c r="AG6" s="12">
        <f t="shared" si="6"/>
        <v>62161.050859716568</v>
      </c>
      <c r="AH6" s="12">
        <f t="shared" si="31"/>
        <v>124408.84805030259</v>
      </c>
      <c r="AI6" s="12">
        <f t="shared" si="7"/>
        <v>28907.59155042097</v>
      </c>
      <c r="AJ6" s="12">
        <f t="shared" si="8"/>
        <v>86.74633086946551</v>
      </c>
      <c r="AK6" s="12">
        <v>640.23130348900008</v>
      </c>
      <c r="AL6" s="12">
        <v>644.34703766999996</v>
      </c>
      <c r="AM6" s="12">
        <f t="shared" si="32"/>
        <v>-4.1157341809998798</v>
      </c>
      <c r="AN6" s="8"/>
      <c r="AO6" s="10">
        <v>45692</v>
      </c>
      <c r="AP6" s="12">
        <v>20659662.725760169</v>
      </c>
      <c r="AQ6" s="12">
        <f t="shared" si="9"/>
        <v>61995.823323242475</v>
      </c>
      <c r="AR6" s="12">
        <v>20628876.223273169</v>
      </c>
      <c r="AS6" s="12">
        <f t="shared" si="10"/>
        <v>61903.438728476329</v>
      </c>
      <c r="AT6" s="12">
        <f t="shared" si="33"/>
        <v>123899.2620517188</v>
      </c>
      <c r="AU6" s="12">
        <f t="shared" si="11"/>
        <v>30786.502487000078</v>
      </c>
      <c r="AV6" s="12">
        <f t="shared" si="12"/>
        <v>92.384594766146833</v>
      </c>
      <c r="AW6" s="12">
        <v>637.62917685399998</v>
      </c>
      <c r="AX6" s="12">
        <v>641.79679794999993</v>
      </c>
      <c r="AY6" s="12">
        <f t="shared" si="34"/>
        <v>-4.167621095999948</v>
      </c>
      <c r="AZ6" s="8"/>
      <c r="BA6" s="10">
        <v>45692</v>
      </c>
      <c r="BB6" s="12">
        <v>20700120</v>
      </c>
      <c r="BC6" s="12">
        <f t="shared" si="13"/>
        <v>62117.228113785597</v>
      </c>
      <c r="BD6" s="12">
        <v>20674300</v>
      </c>
      <c r="BE6" s="12">
        <f t="shared" si="14"/>
        <v>62039.747073583996</v>
      </c>
      <c r="BF6" s="12">
        <f t="shared" si="35"/>
        <v>124156.97518736959</v>
      </c>
      <c r="BG6" s="12">
        <f t="shared" si="15"/>
        <v>25820</v>
      </c>
      <c r="BH6" s="12">
        <f t="shared" si="16"/>
        <v>77.481040201599995</v>
      </c>
      <c r="BI6" s="12">
        <v>639.04489999999998</v>
      </c>
      <c r="BJ6" s="12">
        <v>643.07190000000003</v>
      </c>
      <c r="BK6" s="12">
        <f t="shared" si="36"/>
        <v>-4.0270000000000437</v>
      </c>
      <c r="BL6" s="8"/>
      <c r="BM6" s="10">
        <v>45692</v>
      </c>
      <c r="BN6" s="12">
        <v>20699988</v>
      </c>
      <c r="BO6" s="12">
        <f t="shared" si="17"/>
        <v>62116.832006221441</v>
      </c>
      <c r="BP6" s="12">
        <v>20674471</v>
      </c>
      <c r="BQ6" s="12">
        <f t="shared" si="18"/>
        <v>62040.260212928479</v>
      </c>
      <c r="BR6" s="12">
        <f t="shared" si="37"/>
        <v>124157.09221914993</v>
      </c>
      <c r="BS6" s="12">
        <f t="shared" si="19"/>
        <v>25517</v>
      </c>
      <c r="BT6" s="12">
        <f t="shared" si="20"/>
        <v>76.571793292959995</v>
      </c>
      <c r="BU6" s="12">
        <v>639.06669999999997</v>
      </c>
      <c r="BV6" s="12">
        <v>643.07809999999995</v>
      </c>
      <c r="BW6" s="12">
        <f t="shared" si="38"/>
        <v>-4.0113999999999805</v>
      </c>
      <c r="BX6" s="8"/>
      <c r="BY6" s="10">
        <v>45692</v>
      </c>
      <c r="BZ6" s="14">
        <v>20614902</v>
      </c>
      <c r="CA6" s="12">
        <f t="shared" si="21"/>
        <v>61861.504671341761</v>
      </c>
      <c r="CB6" s="14">
        <v>20595087</v>
      </c>
      <c r="CC6" s="12">
        <f t="shared" si="22"/>
        <v>61802.043524494555</v>
      </c>
      <c r="CD6" s="12">
        <f t="shared" si="39"/>
        <v>123663.54819583631</v>
      </c>
      <c r="CE6" s="12">
        <f t="shared" si="23"/>
        <v>19815</v>
      </c>
      <c r="CF6" s="12">
        <f t="shared" si="24"/>
        <v>59.461146847199998</v>
      </c>
      <c r="CG6" s="14">
        <v>636.71579999999994</v>
      </c>
      <c r="CH6" s="14">
        <v>640.5403</v>
      </c>
      <c r="CI6" s="12">
        <f t="shared" si="40"/>
        <v>-3.8245000000000573</v>
      </c>
    </row>
    <row r="7" spans="1:87" x14ac:dyDescent="0.25">
      <c r="A7" s="5">
        <v>45693</v>
      </c>
      <c r="B7" s="11">
        <v>91.792000000000002</v>
      </c>
      <c r="C7" s="11">
        <v>3.1739999999999998E-5</v>
      </c>
      <c r="E7" s="10">
        <v>45693</v>
      </c>
      <c r="F7" s="11">
        <v>427948.05764160003</v>
      </c>
      <c r="G7" s="12">
        <f t="shared" si="25"/>
        <v>1246.817285317378</v>
      </c>
      <c r="H7" s="11">
        <v>529861.71197330405</v>
      </c>
      <c r="I7" s="12">
        <f t="shared" si="26"/>
        <v>1543.7404832654947</v>
      </c>
      <c r="J7" s="12">
        <f t="shared" si="27"/>
        <v>2790.557768582873</v>
      </c>
      <c r="K7" s="12">
        <f t="shared" si="0"/>
        <v>-101913.65433170402</v>
      </c>
      <c r="L7" s="12">
        <f t="shared" si="1"/>
        <v>-296.92319794811669</v>
      </c>
      <c r="M7" s="11">
        <v>17.578034201000001</v>
      </c>
      <c r="N7" s="11">
        <v>14.378322069999999</v>
      </c>
      <c r="O7" s="12">
        <f t="shared" si="28"/>
        <v>3.1997121310000018</v>
      </c>
      <c r="P7" s="6"/>
      <c r="Q7" s="10">
        <v>45693</v>
      </c>
      <c r="R7" s="12">
        <v>5003568</v>
      </c>
      <c r="S7" s="12">
        <f t="shared" si="2"/>
        <v>14577.785689789438</v>
      </c>
      <c r="T7" s="12">
        <v>4962798</v>
      </c>
      <c r="U7" s="12">
        <f t="shared" si="3"/>
        <v>14459.003188467837</v>
      </c>
      <c r="V7" s="12">
        <f t="shared" si="29"/>
        <v>29036.788878257277</v>
      </c>
      <c r="W7" s="12">
        <f t="shared" si="41"/>
        <v>40770</v>
      </c>
      <c r="X7" s="12">
        <f t="shared" si="4"/>
        <v>118.78250132159999</v>
      </c>
      <c r="Y7" s="12">
        <v>159.2064</v>
      </c>
      <c r="Z7" s="12">
        <v>161.41300000000001</v>
      </c>
      <c r="AA7" s="12">
        <f t="shared" si="30"/>
        <v>-2.2066000000000088</v>
      </c>
      <c r="AB7" s="8"/>
      <c r="AC7" s="10">
        <v>45693</v>
      </c>
      <c r="AD7" s="12">
        <v>6712035.337257864</v>
      </c>
      <c r="AE7" s="12">
        <f t="shared" si="5"/>
        <v>19555.367827286191</v>
      </c>
      <c r="AF7" s="12">
        <v>6716411.1736369412</v>
      </c>
      <c r="AG7" s="12">
        <f t="shared" si="6"/>
        <v>19568.116730658301</v>
      </c>
      <c r="AH7" s="12">
        <f t="shared" si="31"/>
        <v>39123.484557944495</v>
      </c>
      <c r="AI7" s="12">
        <f t="shared" si="7"/>
        <v>-4375.8363790772855</v>
      </c>
      <c r="AJ7" s="12">
        <f t="shared" si="8"/>
        <v>-12.748903372108241</v>
      </c>
      <c r="AK7" s="12">
        <v>220.042401673</v>
      </c>
      <c r="AL7" s="12">
        <v>221.01446741999999</v>
      </c>
      <c r="AM7" s="12">
        <f t="shared" si="32"/>
        <v>-0.97206574699998782</v>
      </c>
      <c r="AN7" s="8"/>
      <c r="AO7" s="10">
        <v>45693</v>
      </c>
      <c r="AP7" s="12">
        <v>13299850.261951059</v>
      </c>
      <c r="AQ7" s="12">
        <f t="shared" si="9"/>
        <v>38748.822205476667</v>
      </c>
      <c r="AR7" s="12">
        <v>13311743.195795961</v>
      </c>
      <c r="AS7" s="12">
        <f t="shared" si="10"/>
        <v>38783.472007540673</v>
      </c>
      <c r="AT7" s="12">
        <f t="shared" si="33"/>
        <v>77532.294213017332</v>
      </c>
      <c r="AU7" s="12">
        <f t="shared" si="11"/>
        <v>-11892.933844901621</v>
      </c>
      <c r="AV7" s="12">
        <f t="shared" si="12"/>
        <v>-34.649802064010998</v>
      </c>
      <c r="AW7" s="12">
        <v>428.35152492999998</v>
      </c>
      <c r="AX7" s="12">
        <v>430.13894334999998</v>
      </c>
      <c r="AY7" s="12">
        <f t="shared" si="34"/>
        <v>-1.7874184199999945</v>
      </c>
      <c r="AZ7" s="8"/>
      <c r="BA7" s="10">
        <v>45693</v>
      </c>
      <c r="BB7" s="12">
        <v>13385282</v>
      </c>
      <c r="BC7" s="12">
        <f t="shared" si="13"/>
        <v>38997.725701618561</v>
      </c>
      <c r="BD7" s="12">
        <v>13394297</v>
      </c>
      <c r="BE7" s="12">
        <f t="shared" si="14"/>
        <v>39023.990706509758</v>
      </c>
      <c r="BF7" s="12">
        <f t="shared" si="35"/>
        <v>78021.716408128326</v>
      </c>
      <c r="BG7" s="12">
        <f t="shared" si="15"/>
        <v>-9015</v>
      </c>
      <c r="BH7" s="12">
        <f t="shared" si="16"/>
        <v>-26.265004891199997</v>
      </c>
      <c r="BI7" s="12">
        <v>430.94839999999999</v>
      </c>
      <c r="BJ7" s="12">
        <v>432.84800000000001</v>
      </c>
      <c r="BK7" s="12">
        <f t="shared" si="36"/>
        <v>-1.8996000000000208</v>
      </c>
      <c r="BL7" s="8"/>
      <c r="BM7" s="10">
        <v>45693</v>
      </c>
      <c r="BN7" s="12">
        <v>13556195</v>
      </c>
      <c r="BO7" s="12">
        <f t="shared" si="17"/>
        <v>39495.676980705597</v>
      </c>
      <c r="BP7" s="12">
        <v>13562353</v>
      </c>
      <c r="BQ7" s="12">
        <f t="shared" si="18"/>
        <v>39513.618178722238</v>
      </c>
      <c r="BR7" s="12">
        <f t="shared" si="37"/>
        <v>79009.295159427827</v>
      </c>
      <c r="BS7" s="12">
        <f t="shared" si="19"/>
        <v>-6158</v>
      </c>
      <c r="BT7" s="12">
        <f t="shared" si="20"/>
        <v>-17.941198016640001</v>
      </c>
      <c r="BU7" s="12">
        <v>436.23649999999998</v>
      </c>
      <c r="BV7" s="12">
        <v>438.22699999999998</v>
      </c>
      <c r="BW7" s="12">
        <f t="shared" si="38"/>
        <v>-1.9904999999999973</v>
      </c>
      <c r="BX7" s="8"/>
      <c r="BY7" s="10">
        <v>45693</v>
      </c>
      <c r="BZ7" s="14">
        <v>13641773</v>
      </c>
      <c r="CA7" s="12">
        <f t="shared" si="21"/>
        <v>39745.006607835843</v>
      </c>
      <c r="CB7" s="14">
        <v>13646768</v>
      </c>
      <c r="CC7" s="12">
        <f t="shared" si="22"/>
        <v>39759.559430845438</v>
      </c>
      <c r="CD7" s="12">
        <f t="shared" si="39"/>
        <v>79504.566038681281</v>
      </c>
      <c r="CE7" s="12">
        <f t="shared" si="23"/>
        <v>-4995</v>
      </c>
      <c r="CF7" s="12">
        <f t="shared" si="24"/>
        <v>-14.552823009599999</v>
      </c>
      <c r="CG7" s="14">
        <v>438.84550000000002</v>
      </c>
      <c r="CH7" s="14">
        <v>440.86619999999999</v>
      </c>
      <c r="CI7" s="12">
        <f t="shared" si="40"/>
        <v>-2.0206999999999766</v>
      </c>
    </row>
    <row r="8" spans="1:87" x14ac:dyDescent="0.25">
      <c r="A8" s="5">
        <v>45694</v>
      </c>
      <c r="B8" s="11">
        <v>76.506</v>
      </c>
      <c r="C8" s="11">
        <v>3.3179999999999997E-5</v>
      </c>
      <c r="E8" s="10">
        <v>45694</v>
      </c>
      <c r="F8" s="11">
        <v>2106007.384532955</v>
      </c>
      <c r="G8" s="12">
        <f t="shared" si="25"/>
        <v>5346.0346278885763</v>
      </c>
      <c r="H8" s="11">
        <v>2124290.3898084611</v>
      </c>
      <c r="I8" s="12">
        <f t="shared" si="26"/>
        <v>5392.445471469925</v>
      </c>
      <c r="J8" s="12">
        <f t="shared" si="27"/>
        <v>10738.480099358501</v>
      </c>
      <c r="K8" s="12">
        <f t="shared" si="0"/>
        <v>-18283.005275506061</v>
      </c>
      <c r="L8" s="12">
        <f t="shared" si="1"/>
        <v>-46.410843581349013</v>
      </c>
      <c r="M8" s="11">
        <v>68.710782576</v>
      </c>
      <c r="N8" s="11">
        <v>68.471139534999992</v>
      </c>
      <c r="O8" s="12">
        <f t="shared" si="28"/>
        <v>0.23964304100000788</v>
      </c>
      <c r="P8" s="6"/>
      <c r="Q8" s="10">
        <v>45694</v>
      </c>
      <c r="R8" s="12">
        <v>4177026</v>
      </c>
      <c r="S8" s="12">
        <f t="shared" si="2"/>
        <v>10603.251347356079</v>
      </c>
      <c r="T8" s="12">
        <v>4269141</v>
      </c>
      <c r="U8" s="12">
        <f t="shared" si="3"/>
        <v>10837.082426660279</v>
      </c>
      <c r="V8" s="12">
        <f t="shared" si="29"/>
        <v>21440.333774016359</v>
      </c>
      <c r="W8" s="12">
        <f t="shared" si="41"/>
        <v>-92115</v>
      </c>
      <c r="X8" s="12">
        <f t="shared" si="4"/>
        <v>-233.83107930419999</v>
      </c>
      <c r="Y8" s="12">
        <v>137.48169999999999</v>
      </c>
      <c r="Z8" s="12">
        <v>135.1097</v>
      </c>
      <c r="AA8" s="12">
        <f t="shared" si="30"/>
        <v>2.3719999999999857</v>
      </c>
      <c r="AB8" s="8"/>
      <c r="AC8" s="10">
        <v>45694</v>
      </c>
      <c r="AD8" s="12">
        <v>14316380.400827879</v>
      </c>
      <c r="AE8" s="12">
        <f t="shared" si="5"/>
        <v>36341.68898501958</v>
      </c>
      <c r="AF8" s="12">
        <v>14338900.210074469</v>
      </c>
      <c r="AG8" s="12">
        <f t="shared" si="6"/>
        <v>36398.854824479546</v>
      </c>
      <c r="AH8" s="12">
        <f t="shared" si="31"/>
        <v>72740.543809499126</v>
      </c>
      <c r="AI8" s="12">
        <f t="shared" si="7"/>
        <v>-22519.809246590361</v>
      </c>
      <c r="AJ8" s="12">
        <f t="shared" si="8"/>
        <v>-57.165839459967728</v>
      </c>
      <c r="AK8" s="12">
        <v>461.88587369099997</v>
      </c>
      <c r="AL8" s="12">
        <v>463.439470035</v>
      </c>
      <c r="AM8" s="12">
        <f t="shared" si="32"/>
        <v>-1.5535963440000273</v>
      </c>
      <c r="AN8" s="8"/>
      <c r="AO8" s="10">
        <v>45694</v>
      </c>
      <c r="AP8" s="12">
        <v>14280808.652373441</v>
      </c>
      <c r="AQ8" s="12">
        <f t="shared" si="9"/>
        <v>36251.391201446444</v>
      </c>
      <c r="AR8" s="12">
        <v>14297732.74692779</v>
      </c>
      <c r="AS8" s="12">
        <f t="shared" si="10"/>
        <v>36294.352492179656</v>
      </c>
      <c r="AT8" s="12">
        <f t="shared" si="33"/>
        <v>72545.743693626107</v>
      </c>
      <c r="AU8" s="12">
        <f t="shared" si="11"/>
        <v>-16924.09455434978</v>
      </c>
      <c r="AV8" s="12">
        <f t="shared" si="12"/>
        <v>-42.961290733213289</v>
      </c>
      <c r="AW8" s="12">
        <v>460.40102824600001</v>
      </c>
      <c r="AX8" s="12">
        <v>462.15541611999993</v>
      </c>
      <c r="AY8" s="12">
        <f t="shared" si="34"/>
        <v>-1.7543878739999172</v>
      </c>
      <c r="AZ8" s="8"/>
      <c r="BA8" s="10">
        <v>45694</v>
      </c>
      <c r="BB8" s="12">
        <v>14141305</v>
      </c>
      <c r="BC8" s="12">
        <f t="shared" si="13"/>
        <v>35897.265493349398</v>
      </c>
      <c r="BD8" s="12">
        <v>14159781</v>
      </c>
      <c r="BE8" s="12">
        <f t="shared" si="14"/>
        <v>35944.16624807148</v>
      </c>
      <c r="BF8" s="12">
        <f t="shared" si="35"/>
        <v>71841.431741420878</v>
      </c>
      <c r="BG8" s="12">
        <f t="shared" si="15"/>
        <v>-18476</v>
      </c>
      <c r="BH8" s="12">
        <f t="shared" si="16"/>
        <v>-46.900754722079995</v>
      </c>
      <c r="BI8" s="12">
        <v>456.08019999999999</v>
      </c>
      <c r="BJ8" s="12">
        <v>457.76850000000002</v>
      </c>
      <c r="BK8" s="12">
        <f t="shared" si="36"/>
        <v>-1.6883000000000266</v>
      </c>
      <c r="BL8" s="8"/>
      <c r="BM8" s="10">
        <v>45694</v>
      </c>
      <c r="BN8" s="12">
        <v>14211241</v>
      </c>
      <c r="BO8" s="12">
        <f t="shared" si="17"/>
        <v>36074.795866928282</v>
      </c>
      <c r="BP8" s="12">
        <v>14191609</v>
      </c>
      <c r="BQ8" s="12">
        <f t="shared" si="18"/>
        <v>36024.960641949721</v>
      </c>
      <c r="BR8" s="12">
        <f t="shared" si="37"/>
        <v>72099.756508877996</v>
      </c>
      <c r="BS8" s="12">
        <f t="shared" si="19"/>
        <v>19632</v>
      </c>
      <c r="BT8" s="12">
        <f t="shared" si="20"/>
        <v>49.835224978559992</v>
      </c>
      <c r="BU8" s="12">
        <v>457.0872</v>
      </c>
      <c r="BV8" s="12">
        <v>460.0147</v>
      </c>
      <c r="BW8" s="12">
        <f t="shared" si="38"/>
        <v>-2.9275000000000091</v>
      </c>
      <c r="BX8" s="8"/>
      <c r="BY8" s="10">
        <v>45694</v>
      </c>
      <c r="BZ8" s="14">
        <v>14212530</v>
      </c>
      <c r="CA8" s="12">
        <f t="shared" si="21"/>
        <v>36078.067953572398</v>
      </c>
      <c r="CB8" s="14">
        <v>14189794</v>
      </c>
      <c r="CC8" s="12">
        <f t="shared" si="22"/>
        <v>36020.353320569513</v>
      </c>
      <c r="CD8" s="12">
        <f t="shared" si="39"/>
        <v>72098.421274141903</v>
      </c>
      <c r="CE8" s="12">
        <f t="shared" si="23"/>
        <v>22736</v>
      </c>
      <c r="CF8" s="12">
        <f t="shared" si="24"/>
        <v>57.714633002879992</v>
      </c>
      <c r="CG8" s="14">
        <v>456.94220000000001</v>
      </c>
      <c r="CH8" s="14">
        <v>459.98349999999999</v>
      </c>
      <c r="CI8" s="12">
        <f t="shared" si="40"/>
        <v>-3.0412999999999784</v>
      </c>
    </row>
    <row r="9" spans="1:87" x14ac:dyDescent="0.25">
      <c r="A9" s="5">
        <v>45695</v>
      </c>
      <c r="B9" s="11">
        <v>87.497</v>
      </c>
      <c r="C9" s="11">
        <v>3.1199999999999999E-5</v>
      </c>
      <c r="E9" s="10">
        <v>45695</v>
      </c>
      <c r="F9" s="11">
        <v>2999111.9133145218</v>
      </c>
      <c r="G9" s="12">
        <f t="shared" si="25"/>
        <v>8187.2948064735574</v>
      </c>
      <c r="H9" s="11">
        <v>3008342.5945225121</v>
      </c>
      <c r="I9" s="12">
        <f t="shared" si="26"/>
        <v>8212.4937021796104</v>
      </c>
      <c r="J9" s="12">
        <f t="shared" si="27"/>
        <v>16399.788508653168</v>
      </c>
      <c r="K9" s="12">
        <f t="shared" si="0"/>
        <v>-9230.6812079902738</v>
      </c>
      <c r="L9" s="12">
        <f t="shared" si="1"/>
        <v>-25.198895706052376</v>
      </c>
      <c r="M9" s="11">
        <v>92.897492975000006</v>
      </c>
      <c r="N9" s="11">
        <v>93.125333555999987</v>
      </c>
      <c r="O9" s="12">
        <f t="shared" si="28"/>
        <v>-0.22784058099998106</v>
      </c>
      <c r="P9" s="6"/>
      <c r="Q9" s="10">
        <v>45695</v>
      </c>
      <c r="R9" s="12">
        <v>3468417.6651342632</v>
      </c>
      <c r="S9" s="12">
        <f t="shared" si="2"/>
        <v>9468.4555819230827</v>
      </c>
      <c r="T9" s="12">
        <v>3426013.8142230408</v>
      </c>
      <c r="U9" s="12">
        <f t="shared" si="3"/>
        <v>9352.69703793589</v>
      </c>
      <c r="V9" s="12">
        <f t="shared" si="29"/>
        <v>18821.152619858971</v>
      </c>
      <c r="W9" s="12">
        <f t="shared" si="41"/>
        <v>42403.850911222398</v>
      </c>
      <c r="X9" s="12">
        <f t="shared" si="4"/>
        <v>115.75854398719186</v>
      </c>
      <c r="Y9" s="12">
        <v>106.135752872</v>
      </c>
      <c r="Z9" s="12">
        <v>107.982476769</v>
      </c>
      <c r="AA9" s="12">
        <f t="shared" si="30"/>
        <v>-1.8467238970000039</v>
      </c>
      <c r="AB9" s="8"/>
      <c r="AC9" s="10">
        <v>45695</v>
      </c>
      <c r="AD9" s="12">
        <v>13653957.285564059</v>
      </c>
      <c r="AE9" s="12">
        <f t="shared" si="5"/>
        <v>37274.025379187959</v>
      </c>
      <c r="AF9" s="12">
        <v>13640289.77932121</v>
      </c>
      <c r="AG9" s="12">
        <f t="shared" si="6"/>
        <v>37236.714366423555</v>
      </c>
      <c r="AH9" s="12">
        <f t="shared" si="31"/>
        <v>74510.739745611514</v>
      </c>
      <c r="AI9" s="12">
        <f t="shared" si="7"/>
        <v>13667.506242848933</v>
      </c>
      <c r="AJ9" s="12">
        <f t="shared" si="8"/>
        <v>37.311012764393254</v>
      </c>
      <c r="AK9" s="12">
        <v>422.37248036900002</v>
      </c>
      <c r="AL9" s="12">
        <v>424.91289008500002</v>
      </c>
      <c r="AM9" s="12">
        <f t="shared" si="32"/>
        <v>-2.5404097159999992</v>
      </c>
      <c r="AN9" s="8"/>
      <c r="AO9" s="10">
        <v>45695</v>
      </c>
      <c r="AP9" s="12">
        <v>13723162.075983191</v>
      </c>
      <c r="AQ9" s="12">
        <f t="shared" si="9"/>
        <v>37462.947979463803</v>
      </c>
      <c r="AR9" s="12">
        <v>13712598.55189942</v>
      </c>
      <c r="AS9" s="12">
        <f t="shared" si="10"/>
        <v>37434.110547460958</v>
      </c>
      <c r="AT9" s="12">
        <f t="shared" si="33"/>
        <v>74897.058526924753</v>
      </c>
      <c r="AU9" s="12">
        <f t="shared" si="11"/>
        <v>10563.524083770812</v>
      </c>
      <c r="AV9" s="12">
        <f t="shared" si="12"/>
        <v>28.837432002840075</v>
      </c>
      <c r="AW9" s="12">
        <v>424.62289702599998</v>
      </c>
      <c r="AX9" s="12">
        <v>427.083877535</v>
      </c>
      <c r="AY9" s="12">
        <f t="shared" si="34"/>
        <v>-2.4609805090000236</v>
      </c>
      <c r="AZ9" s="8"/>
      <c r="BA9" s="10">
        <v>45695</v>
      </c>
      <c r="BB9" s="12">
        <v>13722075.8750773</v>
      </c>
      <c r="BC9" s="12">
        <f t="shared" si="13"/>
        <v>37459.982752659125</v>
      </c>
      <c r="BD9" s="12">
        <v>13711705.23970893</v>
      </c>
      <c r="BE9" s="12">
        <f t="shared" si="14"/>
        <v>37431.671888794946</v>
      </c>
      <c r="BF9" s="12">
        <f t="shared" si="35"/>
        <v>74891.654641454079</v>
      </c>
      <c r="BG9" s="12">
        <f t="shared" si="15"/>
        <v>10370.63536836952</v>
      </c>
      <c r="BH9" s="12">
        <f t="shared" si="16"/>
        <v>28.310863864178309</v>
      </c>
      <c r="BI9" s="12">
        <v>424.63317837099999</v>
      </c>
      <c r="BJ9" s="12">
        <v>427.08894001499999</v>
      </c>
      <c r="BK9" s="12">
        <f t="shared" si="36"/>
        <v>-2.4557616440000061</v>
      </c>
      <c r="BL9" s="8"/>
      <c r="BM9" s="10">
        <v>45695</v>
      </c>
      <c r="BN9" s="12">
        <v>13791188.073816771</v>
      </c>
      <c r="BO9" s="12">
        <f t="shared" si="17"/>
        <v>37648.652586316079</v>
      </c>
      <c r="BP9" s="12">
        <v>13817241.678681791</v>
      </c>
      <c r="BQ9" s="12">
        <f t="shared" si="18"/>
        <v>37719.776488980169</v>
      </c>
      <c r="BR9" s="12">
        <f t="shared" si="37"/>
        <v>75368.429075296241</v>
      </c>
      <c r="BS9" s="12">
        <f t="shared" si="19"/>
        <v>-26053.604865020141</v>
      </c>
      <c r="BT9" s="12">
        <f t="shared" si="20"/>
        <v>-71.123902664089627</v>
      </c>
      <c r="BU9" s="12">
        <v>427.922317862</v>
      </c>
      <c r="BV9" s="12">
        <v>429.25580254499999</v>
      </c>
      <c r="BW9" s="12">
        <f t="shared" si="38"/>
        <v>-1.3334846829999947</v>
      </c>
      <c r="BX9" s="8"/>
      <c r="BY9" s="10">
        <v>45695</v>
      </c>
      <c r="BZ9" s="14">
        <v>13790526.55849058</v>
      </c>
      <c r="CA9" s="12">
        <f t="shared" si="21"/>
        <v>37646.846711393409</v>
      </c>
      <c r="CB9" s="14">
        <v>13816570.22343508</v>
      </c>
      <c r="CC9" s="12">
        <f t="shared" si="22"/>
        <v>37717.943479004847</v>
      </c>
      <c r="CD9" s="12">
        <f t="shared" si="39"/>
        <v>75364.790190398257</v>
      </c>
      <c r="CE9" s="12">
        <f t="shared" si="23"/>
        <v>-26043.664944499731</v>
      </c>
      <c r="CF9" s="12">
        <f t="shared" si="24"/>
        <v>-71.096767611445458</v>
      </c>
      <c r="CG9" s="14">
        <v>427.91321946300002</v>
      </c>
      <c r="CH9" s="14">
        <v>429.25580254499999</v>
      </c>
      <c r="CI9" s="12">
        <f t="shared" si="40"/>
        <v>-1.342583081999976</v>
      </c>
    </row>
    <row r="10" spans="1:87" x14ac:dyDescent="0.25">
      <c r="A10" s="5">
        <v>45696</v>
      </c>
      <c r="B10" s="11">
        <v>87.241</v>
      </c>
      <c r="C10" s="11">
        <v>3.0589999999999997E-5</v>
      </c>
      <c r="E10" s="10">
        <v>45696</v>
      </c>
      <c r="F10" s="11">
        <v>870218.12696375791</v>
      </c>
      <c r="G10" s="12">
        <f t="shared" si="25"/>
        <v>2322.3530212058786</v>
      </c>
      <c r="H10" s="11">
        <v>775228.316526504</v>
      </c>
      <c r="I10" s="12">
        <f t="shared" si="26"/>
        <v>2068.8535060642939</v>
      </c>
      <c r="J10" s="12">
        <f t="shared" si="27"/>
        <v>4391.206527270173</v>
      </c>
      <c r="K10" s="12">
        <f t="shared" si="0"/>
        <v>94989.810437253909</v>
      </c>
      <c r="L10" s="12">
        <f t="shared" si="1"/>
        <v>253.49951514158434</v>
      </c>
      <c r="M10" s="11">
        <v>23.879534738</v>
      </c>
      <c r="N10" s="11">
        <v>26.929806078999999</v>
      </c>
      <c r="O10" s="12">
        <f t="shared" si="28"/>
        <v>-3.0502713409999984</v>
      </c>
      <c r="P10" s="6"/>
      <c r="Q10" s="10">
        <v>45696</v>
      </c>
      <c r="R10" s="12">
        <v>1834383.562609043</v>
      </c>
      <c r="S10" s="12">
        <f t="shared" si="2"/>
        <v>4895.423430834755</v>
      </c>
      <c r="T10" s="12">
        <v>1886146.1278779709</v>
      </c>
      <c r="U10" s="12">
        <f t="shared" si="3"/>
        <v>5033.5623021279607</v>
      </c>
      <c r="V10" s="12">
        <f t="shared" si="29"/>
        <v>9928.9857329627157</v>
      </c>
      <c r="W10" s="12">
        <f t="shared" si="41"/>
        <v>-51762.565268927952</v>
      </c>
      <c r="X10" s="12">
        <f t="shared" si="4"/>
        <v>-138.13887129320594</v>
      </c>
      <c r="Y10" s="12">
        <v>58.105634684000009</v>
      </c>
      <c r="Z10" s="12">
        <v>56.788433849</v>
      </c>
      <c r="AA10" s="12">
        <f t="shared" si="30"/>
        <v>1.3172008350000084</v>
      </c>
      <c r="AB10" s="8"/>
      <c r="AC10" s="10">
        <v>45696</v>
      </c>
      <c r="AD10" s="12">
        <v>14856399.75321993</v>
      </c>
      <c r="AE10" s="12">
        <f t="shared" si="5"/>
        <v>39647.306556933487</v>
      </c>
      <c r="AF10" s="12">
        <v>14860575.83580607</v>
      </c>
      <c r="AG10" s="12">
        <f t="shared" si="6"/>
        <v>39658.451277676737</v>
      </c>
      <c r="AH10" s="12">
        <f t="shared" si="31"/>
        <v>79305.757834610224</v>
      </c>
      <c r="AI10" s="12">
        <f t="shared" si="7"/>
        <v>-4176.0825861394405</v>
      </c>
      <c r="AJ10" s="12">
        <f t="shared" si="8"/>
        <v>-11.144720743251188</v>
      </c>
      <c r="AK10" s="12">
        <v>458.13441822200002</v>
      </c>
      <c r="AL10" s="12">
        <v>460.31338739</v>
      </c>
      <c r="AM10" s="12">
        <f t="shared" si="32"/>
        <v>-2.1789691679999805</v>
      </c>
      <c r="AN10" s="8"/>
      <c r="AO10" s="10">
        <v>45696</v>
      </c>
      <c r="AP10" s="12">
        <v>14856161.65960476</v>
      </c>
      <c r="AQ10" s="12">
        <f t="shared" si="9"/>
        <v>39646.671155981254</v>
      </c>
      <c r="AR10" s="12">
        <v>14857219.559085829</v>
      </c>
      <c r="AS10" s="12">
        <f t="shared" si="10"/>
        <v>39649.494374643182</v>
      </c>
      <c r="AT10" s="12">
        <f t="shared" si="33"/>
        <v>79296.165530624436</v>
      </c>
      <c r="AU10" s="12">
        <f t="shared" si="11"/>
        <v>-1057.8994810692966</v>
      </c>
      <c r="AV10" s="12">
        <f t="shared" si="12"/>
        <v>-2.823218661929495</v>
      </c>
      <c r="AW10" s="12">
        <v>458.036898834</v>
      </c>
      <c r="AX10" s="12">
        <v>460.31338739</v>
      </c>
      <c r="AY10" s="12">
        <f t="shared" si="34"/>
        <v>-2.2764885560000039</v>
      </c>
      <c r="AZ10" s="8"/>
      <c r="BA10" s="10">
        <v>45696</v>
      </c>
      <c r="BB10" s="12">
        <v>14856061.139976701</v>
      </c>
      <c r="BC10" s="12">
        <f t="shared" si="13"/>
        <v>39646.402899029716</v>
      </c>
      <c r="BD10" s="12">
        <v>14857167.424217541</v>
      </c>
      <c r="BE10" s="12">
        <f t="shared" si="14"/>
        <v>39649.355242206002</v>
      </c>
      <c r="BF10" s="12">
        <f t="shared" si="35"/>
        <v>79295.75814123571</v>
      </c>
      <c r="BG10" s="12">
        <f t="shared" si="15"/>
        <v>-1106.2842408400029</v>
      </c>
      <c r="BH10" s="12">
        <f t="shared" si="16"/>
        <v>-2.952343176292203</v>
      </c>
      <c r="BI10" s="12">
        <v>458.03079077500001</v>
      </c>
      <c r="BJ10" s="12">
        <v>460.31338739</v>
      </c>
      <c r="BK10" s="12">
        <f t="shared" si="36"/>
        <v>-2.2825966149999886</v>
      </c>
      <c r="BL10" s="8"/>
      <c r="BM10" s="10">
        <v>45696</v>
      </c>
      <c r="BN10" s="12">
        <v>14856573.150947919</v>
      </c>
      <c r="BO10" s="12">
        <f t="shared" si="17"/>
        <v>39647.769303829911</v>
      </c>
      <c r="BP10" s="12">
        <v>14853890.520106619</v>
      </c>
      <c r="BQ10" s="12">
        <f t="shared" si="18"/>
        <v>39640.610161028773</v>
      </c>
      <c r="BR10" s="12">
        <f t="shared" si="37"/>
        <v>79288.379464858677</v>
      </c>
      <c r="BS10" s="12">
        <f t="shared" si="19"/>
        <v>2682.6308412998915</v>
      </c>
      <c r="BT10" s="12">
        <f t="shared" si="20"/>
        <v>7.1591428011385618</v>
      </c>
      <c r="BU10" s="12">
        <v>457.91801541799998</v>
      </c>
      <c r="BV10" s="12">
        <v>460.31338739</v>
      </c>
      <c r="BW10" s="12">
        <f t="shared" si="38"/>
        <v>-2.3953719720000208</v>
      </c>
      <c r="BX10" s="8"/>
      <c r="BY10" s="10">
        <v>45696</v>
      </c>
      <c r="BZ10" s="14">
        <v>14821366.414104501</v>
      </c>
      <c r="CA10" s="12">
        <f t="shared" si="21"/>
        <v>39553.813008113124</v>
      </c>
      <c r="CB10" s="14">
        <v>14817845.177536249</v>
      </c>
      <c r="CC10" s="12">
        <f t="shared" si="22"/>
        <v>39544.415876371924</v>
      </c>
      <c r="CD10" s="12">
        <f t="shared" si="39"/>
        <v>79098.228884485055</v>
      </c>
      <c r="CE10" s="12">
        <f t="shared" si="23"/>
        <v>3521.2365682516247</v>
      </c>
      <c r="CF10" s="12">
        <f t="shared" si="24"/>
        <v>9.3971317412011945</v>
      </c>
      <c r="CG10" s="14">
        <v>456.80958486999998</v>
      </c>
      <c r="CH10" s="14">
        <v>459.233473785</v>
      </c>
      <c r="CI10" s="12">
        <f t="shared" si="40"/>
        <v>-2.4238889150000205</v>
      </c>
    </row>
    <row r="11" spans="1:87" x14ac:dyDescent="0.25">
      <c r="A11" s="5">
        <v>45697</v>
      </c>
      <c r="B11" s="11">
        <v>86.742999999999995</v>
      </c>
      <c r="C11" s="11">
        <v>3.1199999999999999E-5</v>
      </c>
      <c r="E11" s="10">
        <v>45697</v>
      </c>
      <c r="F11" s="11">
        <v>0</v>
      </c>
      <c r="G11" s="12">
        <f t="shared" si="25"/>
        <v>0</v>
      </c>
      <c r="H11" s="11">
        <v>0</v>
      </c>
      <c r="I11" s="12">
        <f t="shared" si="26"/>
        <v>0</v>
      </c>
      <c r="J11" s="12">
        <f t="shared" si="27"/>
        <v>0</v>
      </c>
      <c r="K11" s="12">
        <f t="shared" si="0"/>
        <v>0</v>
      </c>
      <c r="L11" s="12">
        <f t="shared" si="1"/>
        <v>0</v>
      </c>
      <c r="M11" s="11">
        <v>0</v>
      </c>
      <c r="N11" s="11">
        <v>0</v>
      </c>
      <c r="O11" s="12">
        <f t="shared" si="28"/>
        <v>0</v>
      </c>
      <c r="P11" s="6"/>
      <c r="Q11" s="10">
        <v>45697</v>
      </c>
      <c r="R11" s="12">
        <v>252456.114086824</v>
      </c>
      <c r="S11" s="12">
        <f t="shared" si="2"/>
        <v>683.24258197208121</v>
      </c>
      <c r="T11" s="12">
        <v>252915.09784394901</v>
      </c>
      <c r="U11" s="12">
        <f t="shared" si="3"/>
        <v>684.48476716706318</v>
      </c>
      <c r="V11" s="12">
        <f t="shared" si="29"/>
        <v>1367.7273491391443</v>
      </c>
      <c r="W11" s="12">
        <f t="shared" si="41"/>
        <v>-458.98375712501002</v>
      </c>
      <c r="X11" s="12">
        <f t="shared" si="4"/>
        <v>-1.2421851949819958</v>
      </c>
      <c r="Y11" s="12">
        <v>7.8776885200000004</v>
      </c>
      <c r="Z11" s="12">
        <v>7.9579226719999996</v>
      </c>
      <c r="AA11" s="12">
        <f t="shared" si="30"/>
        <v>-8.023415199999917E-2</v>
      </c>
      <c r="AB11" s="8"/>
      <c r="AC11" s="10">
        <v>45697</v>
      </c>
      <c r="AD11" s="12">
        <v>15589733.270400651</v>
      </c>
      <c r="AE11" s="12">
        <f t="shared" si="5"/>
        <v>42191.767271920136</v>
      </c>
      <c r="AF11" s="12">
        <v>15574681.234504599</v>
      </c>
      <c r="AG11" s="12">
        <f t="shared" si="6"/>
        <v>42151.03071892853</v>
      </c>
      <c r="AH11" s="12">
        <f t="shared" si="31"/>
        <v>84342.79799084866</v>
      </c>
      <c r="AI11" s="12">
        <f t="shared" si="7"/>
        <v>15052.035896051675</v>
      </c>
      <c r="AJ11" s="12">
        <f t="shared" si="8"/>
        <v>40.736552991613763</v>
      </c>
      <c r="AK11" s="12">
        <v>487.24580319099999</v>
      </c>
      <c r="AL11" s="12">
        <v>490.14047871000002</v>
      </c>
      <c r="AM11" s="12">
        <f t="shared" si="32"/>
        <v>-2.8946755190000317</v>
      </c>
      <c r="AN11" s="8"/>
      <c r="AO11" s="10">
        <v>45697</v>
      </c>
      <c r="AP11" s="12">
        <v>15517985.679973461</v>
      </c>
      <c r="AQ11" s="12">
        <f t="shared" si="9"/>
        <v>41997.590913343658</v>
      </c>
      <c r="AR11" s="12">
        <v>15507796.615038371</v>
      </c>
      <c r="AS11" s="12">
        <f t="shared" si="10"/>
        <v>41970.015415482128</v>
      </c>
      <c r="AT11" s="12">
        <f t="shared" si="33"/>
        <v>83967.606328825786</v>
      </c>
      <c r="AU11" s="12">
        <f t="shared" si="11"/>
        <v>10189.06493509002</v>
      </c>
      <c r="AV11" s="12">
        <f t="shared" si="12"/>
        <v>27.575497861532824</v>
      </c>
      <c r="AW11" s="12">
        <v>485.122382679</v>
      </c>
      <c r="AX11" s="12">
        <v>487.87344614</v>
      </c>
      <c r="AY11" s="12">
        <f t="shared" si="34"/>
        <v>-2.7510634610000011</v>
      </c>
      <c r="AZ11" s="8"/>
      <c r="BA11" s="10">
        <v>45697</v>
      </c>
      <c r="BB11" s="12">
        <v>15412245.09154872</v>
      </c>
      <c r="BC11" s="12">
        <f t="shared" si="13"/>
        <v>41711.416530457769</v>
      </c>
      <c r="BD11" s="12">
        <v>15411722.55670212</v>
      </c>
      <c r="BE11" s="12">
        <f t="shared" si="14"/>
        <v>41710.002351763571</v>
      </c>
      <c r="BF11" s="12">
        <f t="shared" si="35"/>
        <v>83421.418882221333</v>
      </c>
      <c r="BG11" s="12">
        <f t="shared" si="15"/>
        <v>522.5348466001451</v>
      </c>
      <c r="BH11" s="12">
        <f t="shared" si="16"/>
        <v>1.4141786941974552</v>
      </c>
      <c r="BI11" s="12">
        <v>482.15387109300002</v>
      </c>
      <c r="BJ11" s="12">
        <v>484.59368347999998</v>
      </c>
      <c r="BK11" s="12">
        <f t="shared" si="36"/>
        <v>-2.4398123869999608</v>
      </c>
      <c r="BL11" s="8"/>
      <c r="BM11" s="10">
        <v>45697</v>
      </c>
      <c r="BN11" s="12">
        <v>15446568.98122534</v>
      </c>
      <c r="BO11" s="12">
        <f t="shared" si="17"/>
        <v>41804.310073919005</v>
      </c>
      <c r="BP11" s="12">
        <v>15446476.73221454</v>
      </c>
      <c r="BQ11" s="12">
        <f t="shared" si="18"/>
        <v>41804.060412893559</v>
      </c>
      <c r="BR11" s="12">
        <f t="shared" si="37"/>
        <v>83608.370486812564</v>
      </c>
      <c r="BS11" s="12">
        <f t="shared" si="19"/>
        <v>92.249010799452662</v>
      </c>
      <c r="BT11" s="12">
        <f t="shared" si="20"/>
        <v>0.24966102544583996</v>
      </c>
      <c r="BU11" s="12">
        <v>483.255243146</v>
      </c>
      <c r="BV11" s="12">
        <v>485.68501029999999</v>
      </c>
      <c r="BW11" s="12">
        <f t="shared" si="38"/>
        <v>-2.4297671539999897</v>
      </c>
      <c r="BX11" s="8"/>
      <c r="BY11" s="10">
        <v>45697</v>
      </c>
      <c r="BZ11" s="14">
        <v>15339806.08839526</v>
      </c>
      <c r="CA11" s="12">
        <f t="shared" si="21"/>
        <v>41515.368945200906</v>
      </c>
      <c r="CB11" s="14">
        <v>15336106.845208339</v>
      </c>
      <c r="CC11" s="12">
        <f t="shared" si="22"/>
        <v>41505.357381505892</v>
      </c>
      <c r="CD11" s="12">
        <f t="shared" si="39"/>
        <v>83020.72632670679</v>
      </c>
      <c r="CE11" s="12">
        <f t="shared" si="23"/>
        <v>3699.2431869208813</v>
      </c>
      <c r="CF11" s="12">
        <f t="shared" si="24"/>
        <v>10.011563695008032</v>
      </c>
      <c r="CG11" s="14">
        <v>479.778236397</v>
      </c>
      <c r="CH11" s="14">
        <v>482.31128013</v>
      </c>
      <c r="CI11" s="12">
        <f t="shared" si="40"/>
        <v>-2.5330437329999995</v>
      </c>
    </row>
    <row r="12" spans="1:87" x14ac:dyDescent="0.25">
      <c r="A12" s="5">
        <v>45698</v>
      </c>
      <c r="B12" s="11">
        <v>86.578999999999994</v>
      </c>
      <c r="C12" s="11">
        <v>3.1359999999999998E-5</v>
      </c>
      <c r="E12" s="10">
        <v>45698</v>
      </c>
      <c r="F12" s="11">
        <v>0</v>
      </c>
      <c r="G12" s="12">
        <f t="shared" si="25"/>
        <v>0</v>
      </c>
      <c r="H12" s="11">
        <v>0</v>
      </c>
      <c r="I12" s="12">
        <f t="shared" si="26"/>
        <v>0</v>
      </c>
      <c r="J12" s="12">
        <f t="shared" si="27"/>
        <v>0</v>
      </c>
      <c r="K12" s="12">
        <f t="shared" si="0"/>
        <v>0</v>
      </c>
      <c r="L12" s="12">
        <f t="shared" si="1"/>
        <v>0</v>
      </c>
      <c r="M12" s="11">
        <v>0</v>
      </c>
      <c r="N12" s="11">
        <v>0</v>
      </c>
      <c r="O12" s="12">
        <f t="shared" si="28"/>
        <v>0</v>
      </c>
      <c r="P12" s="6"/>
      <c r="Q12" s="10">
        <v>45698</v>
      </c>
      <c r="R12" s="12">
        <v>69581.995978446997</v>
      </c>
      <c r="S12" s="12">
        <f t="shared" si="2"/>
        <v>188.92329079109126</v>
      </c>
      <c r="T12" s="12">
        <v>68231.751101172005</v>
      </c>
      <c r="U12" s="12">
        <f t="shared" si="3"/>
        <v>185.25721737653132</v>
      </c>
      <c r="V12" s="12">
        <f t="shared" si="29"/>
        <v>374.18050816762258</v>
      </c>
      <c r="W12" s="12">
        <f t="shared" si="41"/>
        <v>1350.2448772749922</v>
      </c>
      <c r="X12" s="12">
        <f t="shared" si="4"/>
        <v>3.6660734145599907</v>
      </c>
      <c r="Y12" s="12">
        <v>2.1625061759999999</v>
      </c>
      <c r="Z12" s="12">
        <v>2.212212992</v>
      </c>
      <c r="AA12" s="12">
        <f t="shared" si="30"/>
        <v>-4.9706816000000043E-2</v>
      </c>
      <c r="AB12" s="8"/>
      <c r="AC12" s="10">
        <v>45698</v>
      </c>
      <c r="AD12" s="12">
        <v>17023080.999715909</v>
      </c>
      <c r="AE12" s="12">
        <f t="shared" si="5"/>
        <v>46219.664104861295</v>
      </c>
      <c r="AF12" s="12">
        <v>17033434.804114349</v>
      </c>
      <c r="AG12" s="12">
        <f t="shared" si="6"/>
        <v>46247.77589975384</v>
      </c>
      <c r="AH12" s="12">
        <f t="shared" si="31"/>
        <v>92467.440004615142</v>
      </c>
      <c r="AI12" s="12">
        <f t="shared" si="7"/>
        <v>-10353.804398439825</v>
      </c>
      <c r="AJ12" s="12">
        <f t="shared" si="8"/>
        <v>-28.111794892552673</v>
      </c>
      <c r="AK12" s="12">
        <v>533.35263417599992</v>
      </c>
      <c r="AL12" s="12">
        <v>535.69128606499999</v>
      </c>
      <c r="AM12" s="12">
        <f t="shared" si="32"/>
        <v>-2.3386518890000616</v>
      </c>
      <c r="AN12" s="8"/>
      <c r="AO12" s="10">
        <v>45698</v>
      </c>
      <c r="AP12" s="12">
        <v>16987532.685445368</v>
      </c>
      <c r="AQ12" s="12">
        <f t="shared" si="9"/>
        <v>46123.146256822743</v>
      </c>
      <c r="AR12" s="12">
        <v>17001511.02775161</v>
      </c>
      <c r="AS12" s="12">
        <f t="shared" si="10"/>
        <v>46161.099097800718</v>
      </c>
      <c r="AT12" s="12">
        <f t="shared" si="33"/>
        <v>92284.245354623461</v>
      </c>
      <c r="AU12" s="12">
        <f t="shared" si="11"/>
        <v>-13978.342306241393</v>
      </c>
      <c r="AV12" s="12">
        <f t="shared" si="12"/>
        <v>-37.95284097796582</v>
      </c>
      <c r="AW12" s="12">
        <v>532.35315233699998</v>
      </c>
      <c r="AX12" s="13">
        <v>534.56689265</v>
      </c>
      <c r="AY12" s="12">
        <f t="shared" si="34"/>
        <v>-2.2137403130000166</v>
      </c>
      <c r="AZ12" s="8"/>
      <c r="BA12" s="10">
        <v>45698</v>
      </c>
      <c r="BB12" s="12">
        <v>17057264.809143569</v>
      </c>
      <c r="BC12" s="12">
        <f t="shared" si="13"/>
        <v>46312.477162003968</v>
      </c>
      <c r="BD12" s="12">
        <v>17061567.611407239</v>
      </c>
      <c r="BE12" s="12">
        <f t="shared" si="14"/>
        <v>46324.159775470936</v>
      </c>
      <c r="BF12" s="12">
        <f t="shared" si="35"/>
        <v>92636.636937474905</v>
      </c>
      <c r="BG12" s="12">
        <f t="shared" si="15"/>
        <v>-4302.8022636696696</v>
      </c>
      <c r="BH12" s="12">
        <f t="shared" si="16"/>
        <v>-11.682613466960996</v>
      </c>
      <c r="BI12" s="12">
        <v>534.213323887</v>
      </c>
      <c r="BJ12" s="12">
        <v>536.75532849000001</v>
      </c>
      <c r="BK12" s="12">
        <f t="shared" si="36"/>
        <v>-2.5420046030000094</v>
      </c>
      <c r="BL12" s="8"/>
      <c r="BM12" s="10">
        <v>45698</v>
      </c>
      <c r="BN12" s="12">
        <v>16986370.054143161</v>
      </c>
      <c r="BO12" s="12">
        <f t="shared" si="17"/>
        <v>46119.989576297827</v>
      </c>
      <c r="BP12" s="12">
        <v>16995173.450124539</v>
      </c>
      <c r="BQ12" s="12">
        <f t="shared" si="18"/>
        <v>46143.891830258101</v>
      </c>
      <c r="BR12" s="12">
        <f t="shared" si="37"/>
        <v>92263.881406555927</v>
      </c>
      <c r="BS12" s="12">
        <f t="shared" si="19"/>
        <v>-8803.3959813788533</v>
      </c>
      <c r="BT12" s="12">
        <f t="shared" si="20"/>
        <v>-23.90225396026764</v>
      </c>
      <c r="BU12" s="12">
        <v>532.10525779799991</v>
      </c>
      <c r="BV12" s="12">
        <v>534.53340127499996</v>
      </c>
      <c r="BW12" s="12">
        <f t="shared" si="38"/>
        <v>-2.4281434770000487</v>
      </c>
      <c r="BX12" s="8"/>
      <c r="BY12" s="10">
        <v>45698</v>
      </c>
      <c r="BZ12" s="14">
        <v>17056323.064192489</v>
      </c>
      <c r="CA12" s="12">
        <f t="shared" si="21"/>
        <v>46309.920213863261</v>
      </c>
      <c r="CB12" s="14">
        <v>17065403.323659249</v>
      </c>
      <c r="CC12" s="12">
        <f t="shared" si="22"/>
        <v>46334.574184701181</v>
      </c>
      <c r="CD12" s="12">
        <f t="shared" si="39"/>
        <v>92644.49439856445</v>
      </c>
      <c r="CE12" s="12">
        <f t="shared" si="23"/>
        <v>-9080.2594667598605</v>
      </c>
      <c r="CF12" s="12">
        <f t="shared" si="24"/>
        <v>-24.653970837924792</v>
      </c>
      <c r="CG12" s="14">
        <v>534.36252359700006</v>
      </c>
      <c r="CH12" s="14">
        <v>536.75532849000001</v>
      </c>
      <c r="CI12" s="12">
        <f t="shared" si="40"/>
        <v>-2.3928048929999477</v>
      </c>
    </row>
    <row r="13" spans="1:87" x14ac:dyDescent="0.25">
      <c r="A13" s="5">
        <v>45699</v>
      </c>
      <c r="B13" s="11">
        <v>82.984999999999999</v>
      </c>
      <c r="C13" s="11">
        <v>3.1050000000000003E-5</v>
      </c>
      <c r="E13" s="10">
        <v>45699</v>
      </c>
      <c r="F13" s="11">
        <v>548728.09158398595</v>
      </c>
      <c r="G13" s="12">
        <f t="shared" si="25"/>
        <v>1413.8990311170144</v>
      </c>
      <c r="H13" s="11">
        <v>631620.56969328702</v>
      </c>
      <c r="I13" s="12">
        <f t="shared" si="26"/>
        <v>1627.4867739047199</v>
      </c>
      <c r="J13" s="12">
        <f t="shared" si="27"/>
        <v>3041.3858050217341</v>
      </c>
      <c r="K13" s="12">
        <f t="shared" si="0"/>
        <v>-82892.478109301068</v>
      </c>
      <c r="L13" s="12">
        <f t="shared" si="1"/>
        <v>-213.58774278770585</v>
      </c>
      <c r="M13" s="11">
        <v>20.025332525</v>
      </c>
      <c r="N13" s="11">
        <v>17.530889120000001</v>
      </c>
      <c r="O13" s="12">
        <f t="shared" si="28"/>
        <v>2.4944434049999984</v>
      </c>
      <c r="P13" s="6"/>
      <c r="Q13" s="10">
        <v>45699</v>
      </c>
      <c r="R13" s="12">
        <v>1488763.5526319449</v>
      </c>
      <c r="S13" s="12">
        <f t="shared" si="2"/>
        <v>3836.0735980407785</v>
      </c>
      <c r="T13" s="12">
        <v>1411738.0685467781</v>
      </c>
      <c r="U13" s="12">
        <f t="shared" si="3"/>
        <v>3637.6032463499037</v>
      </c>
      <c r="V13" s="12">
        <f t="shared" si="29"/>
        <v>7473.6768443906822</v>
      </c>
      <c r="W13" s="12">
        <f t="shared" si="41"/>
        <v>77025.484085166827</v>
      </c>
      <c r="X13" s="12">
        <f t="shared" si="4"/>
        <v>198.47035169087505</v>
      </c>
      <c r="Y13" s="12">
        <v>44.870277584</v>
      </c>
      <c r="Z13" s="12">
        <v>47.537610925000003</v>
      </c>
      <c r="AA13" s="12">
        <f t="shared" si="30"/>
        <v>-2.6673333410000026</v>
      </c>
      <c r="AB13" s="8"/>
      <c r="AC13" s="10">
        <v>45699</v>
      </c>
      <c r="AD13" s="12">
        <v>17861031.84516288</v>
      </c>
      <c r="AE13" s="12">
        <f t="shared" si="5"/>
        <v>46022.239444179628</v>
      </c>
      <c r="AF13" s="12">
        <v>17842199.675100099</v>
      </c>
      <c r="AG13" s="12">
        <f t="shared" si="6"/>
        <v>45973.714888185546</v>
      </c>
      <c r="AH13" s="12">
        <f t="shared" si="31"/>
        <v>91995.954332365174</v>
      </c>
      <c r="AI13" s="12">
        <f t="shared" si="7"/>
        <v>18832.17006278038</v>
      </c>
      <c r="AJ13" s="12">
        <f t="shared" si="8"/>
        <v>48.52455599408772</v>
      </c>
      <c r="AK13" s="12">
        <v>561.38769642399996</v>
      </c>
      <c r="AL13" s="12">
        <v>564.80008628999997</v>
      </c>
      <c r="AM13" s="12">
        <f t="shared" si="32"/>
        <v>-3.4123898660000123</v>
      </c>
      <c r="AN13" s="8"/>
      <c r="AO13" s="10">
        <v>45699</v>
      </c>
      <c r="AP13" s="12">
        <v>17860772.04950045</v>
      </c>
      <c r="AQ13" s="12">
        <f t="shared" si="9"/>
        <v>46021.570032788033</v>
      </c>
      <c r="AR13" s="12">
        <v>17842423.71773085</v>
      </c>
      <c r="AS13" s="12">
        <f t="shared" si="10"/>
        <v>45974.292175303526</v>
      </c>
      <c r="AT13" s="12">
        <f t="shared" si="33"/>
        <v>91995.862208091567</v>
      </c>
      <c r="AU13" s="12">
        <f t="shared" si="11"/>
        <v>18348.331769600511</v>
      </c>
      <c r="AV13" s="12">
        <f t="shared" si="12"/>
        <v>47.277857484504267</v>
      </c>
      <c r="AW13" s="12">
        <v>561.41549065300001</v>
      </c>
      <c r="AX13" s="12">
        <v>564.80008628999997</v>
      </c>
      <c r="AY13" s="12">
        <f t="shared" si="34"/>
        <v>-3.3845956369999612</v>
      </c>
      <c r="AZ13" s="8"/>
      <c r="BA13" s="10">
        <v>45699</v>
      </c>
      <c r="BB13" s="12">
        <v>17859884.664368398</v>
      </c>
      <c r="BC13" s="12">
        <f t="shared" si="13"/>
        <v>46019.283521494588</v>
      </c>
      <c r="BD13" s="12">
        <v>17843643.128431611</v>
      </c>
      <c r="BE13" s="12">
        <f t="shared" si="14"/>
        <v>45977.434211650463</v>
      </c>
      <c r="BF13" s="12">
        <f t="shared" si="35"/>
        <v>91996.717733145051</v>
      </c>
      <c r="BG13" s="12">
        <f t="shared" si="15"/>
        <v>16241.535936787724</v>
      </c>
      <c r="BH13" s="12">
        <f t="shared" si="16"/>
        <v>41.849309844129927</v>
      </c>
      <c r="BI13" s="12">
        <v>561.47722267400002</v>
      </c>
      <c r="BJ13" s="12">
        <v>564.80008628999997</v>
      </c>
      <c r="BK13" s="12">
        <f t="shared" si="36"/>
        <v>-3.3228636159999496</v>
      </c>
      <c r="BL13" s="8"/>
      <c r="BM13" s="10">
        <v>45699</v>
      </c>
      <c r="BN13" s="12">
        <v>17784091.33383717</v>
      </c>
      <c r="BO13" s="12">
        <f t="shared" si="17"/>
        <v>45823.988040459735</v>
      </c>
      <c r="BP13" s="12">
        <v>17779062.53219511</v>
      </c>
      <c r="BQ13" s="12">
        <f t="shared" si="18"/>
        <v>45811.030406472259</v>
      </c>
      <c r="BR13" s="12">
        <f t="shared" si="37"/>
        <v>91635.018446931994</v>
      </c>
      <c r="BS13" s="12">
        <f t="shared" si="19"/>
        <v>5028.8016420602798</v>
      </c>
      <c r="BT13" s="12">
        <f t="shared" si="20"/>
        <v>12.957633987470862</v>
      </c>
      <c r="BU13" s="12">
        <v>559.467273331</v>
      </c>
      <c r="BV13" s="12">
        <v>562.432277215</v>
      </c>
      <c r="BW13" s="12">
        <f t="shared" si="38"/>
        <v>-2.9650038839999979</v>
      </c>
      <c r="BX13" s="8"/>
      <c r="BY13" s="10">
        <v>45699</v>
      </c>
      <c r="BZ13" s="14">
        <v>16887316.52331667</v>
      </c>
      <c r="CA13" s="12">
        <f t="shared" si="21"/>
        <v>43513.282510394827</v>
      </c>
      <c r="CB13" s="14">
        <v>16866271.15850801</v>
      </c>
      <c r="CC13" s="12">
        <f t="shared" si="22"/>
        <v>43459.055250356847</v>
      </c>
      <c r="CD13" s="12">
        <f t="shared" si="39"/>
        <v>86972.337760751674</v>
      </c>
      <c r="CE13" s="12">
        <f t="shared" si="23"/>
        <v>21045.364808660001</v>
      </c>
      <c r="CF13" s="12">
        <f t="shared" si="24"/>
        <v>54.227260037978489</v>
      </c>
      <c r="CG13" s="14">
        <v>530.55801361699992</v>
      </c>
      <c r="CH13" s="14">
        <v>533.89096498000004</v>
      </c>
      <c r="CI13" s="12">
        <f t="shared" si="40"/>
        <v>-3.3329513630001202</v>
      </c>
    </row>
    <row r="14" spans="1:87" x14ac:dyDescent="0.25">
      <c r="A14" s="5">
        <v>45700</v>
      </c>
      <c r="B14" s="11">
        <v>80.494</v>
      </c>
      <c r="C14" s="11">
        <v>3.1869999999999998E-5</v>
      </c>
      <c r="E14" s="10">
        <v>45700</v>
      </c>
      <c r="F14" s="11">
        <v>1009232</v>
      </c>
      <c r="G14" s="12">
        <f t="shared" si="25"/>
        <v>2589.0270337769598</v>
      </c>
      <c r="H14" s="11">
        <v>1029018</v>
      </c>
      <c r="I14" s="12">
        <f t="shared" si="26"/>
        <v>2639.78492580804</v>
      </c>
      <c r="J14" s="12">
        <f t="shared" si="27"/>
        <v>5228.8119595850003</v>
      </c>
      <c r="K14" s="12">
        <f t="shared" si="0"/>
        <v>-19786</v>
      </c>
      <c r="L14" s="12">
        <f t="shared" si="1"/>
        <v>-50.757892031080004</v>
      </c>
      <c r="M14" s="11">
        <v>32.754570000000001</v>
      </c>
      <c r="N14" s="11">
        <v>32.298760000000001</v>
      </c>
      <c r="O14" s="12">
        <f t="shared" si="28"/>
        <v>0.4558099999999996</v>
      </c>
      <c r="P14" s="6"/>
      <c r="Q14" s="10">
        <v>45700</v>
      </c>
      <c r="R14" s="12">
        <v>4318713.3157166652</v>
      </c>
      <c r="S14" s="12">
        <f t="shared" si="2"/>
        <v>11078.984342076923</v>
      </c>
      <c r="T14" s="12">
        <v>4291173.3650437966</v>
      </c>
      <c r="U14" s="12">
        <f t="shared" si="3"/>
        <v>11008.33490091677</v>
      </c>
      <c r="V14" s="12">
        <f t="shared" si="29"/>
        <v>22087.319242993693</v>
      </c>
      <c r="W14" s="12">
        <f t="shared" si="41"/>
        <v>27539.950672868639</v>
      </c>
      <c r="X14" s="12">
        <f t="shared" si="4"/>
        <v>70.649441160150374</v>
      </c>
      <c r="Y14" s="13">
        <v>136.67358679099999</v>
      </c>
      <c r="Z14" s="12">
        <v>138.22155134499999</v>
      </c>
      <c r="AA14" s="12">
        <f t="shared" si="30"/>
        <v>-1.5479645540000035</v>
      </c>
      <c r="AB14" s="8"/>
      <c r="AC14" s="10">
        <v>45700</v>
      </c>
      <c r="AD14" s="12">
        <v>18065694</v>
      </c>
      <c r="AE14" s="12">
        <f t="shared" si="5"/>
        <v>46344.715734283316</v>
      </c>
      <c r="AF14" s="12">
        <v>18096215</v>
      </c>
      <c r="AG14" s="12">
        <f t="shared" si="6"/>
        <v>46423.0125917927</v>
      </c>
      <c r="AH14" s="12">
        <f t="shared" si="31"/>
        <v>92767.728326076016</v>
      </c>
      <c r="AI14" s="12">
        <f t="shared" si="7"/>
        <v>-30521</v>
      </c>
      <c r="AJ14" s="12">
        <f t="shared" si="8"/>
        <v>-78.29685750937999</v>
      </c>
      <c r="AK14" s="12">
        <v>576.45820000000003</v>
      </c>
      <c r="AL14" s="12">
        <v>578.36689999999999</v>
      </c>
      <c r="AM14" s="12">
        <f t="shared" si="32"/>
        <v>-1.9086999999999534</v>
      </c>
      <c r="AN14" s="8"/>
      <c r="AO14" s="10">
        <v>45700</v>
      </c>
      <c r="AP14" s="12">
        <v>18065433</v>
      </c>
      <c r="AQ14" s="12">
        <f t="shared" si="9"/>
        <v>46344.046179556739</v>
      </c>
      <c r="AR14" s="12">
        <v>18054419</v>
      </c>
      <c r="AS14" s="12">
        <f t="shared" si="10"/>
        <v>46315.791483163819</v>
      </c>
      <c r="AT14" s="12">
        <f t="shared" si="33"/>
        <v>92659.837662720558</v>
      </c>
      <c r="AU14" s="12">
        <f t="shared" si="11"/>
        <v>11014</v>
      </c>
      <c r="AV14" s="12">
        <f t="shared" si="12"/>
        <v>28.254696392919996</v>
      </c>
      <c r="AW14" s="12">
        <v>575.14</v>
      </c>
      <c r="AX14" s="12">
        <v>578.36689999999999</v>
      </c>
      <c r="AY14" s="12">
        <f t="shared" si="34"/>
        <v>-3.2269000000000005</v>
      </c>
      <c r="AZ14" s="8"/>
      <c r="BA14" s="10">
        <v>45700</v>
      </c>
      <c r="BB14" s="12">
        <v>18065357.898849599</v>
      </c>
      <c r="BC14" s="12">
        <f t="shared" si="13"/>
        <v>46343.853519287681</v>
      </c>
      <c r="BD14" s="12">
        <v>18049697.935395449</v>
      </c>
      <c r="BE14" s="12">
        <f t="shared" si="14"/>
        <v>46303.680329445553</v>
      </c>
      <c r="BF14" s="12">
        <f t="shared" si="35"/>
        <v>92647.533848733234</v>
      </c>
      <c r="BG14" s="12">
        <f t="shared" si="15"/>
        <v>15659.963454149663</v>
      </c>
      <c r="BH14" s="12">
        <f t="shared" si="16"/>
        <v>40.173189842130149</v>
      </c>
      <c r="BI14" s="12">
        <v>574.97185825399993</v>
      </c>
      <c r="BJ14" s="12">
        <v>578.36686051999993</v>
      </c>
      <c r="BK14" s="12">
        <f t="shared" si="36"/>
        <v>-3.3950022660000059</v>
      </c>
      <c r="BL14" s="8"/>
      <c r="BM14" s="10">
        <v>45700</v>
      </c>
      <c r="BN14" s="12">
        <v>18065321.53692916</v>
      </c>
      <c r="BO14" s="12">
        <f t="shared" si="17"/>
        <v>46343.760238461255</v>
      </c>
      <c r="BP14" s="12">
        <v>18059800.768295322</v>
      </c>
      <c r="BQ14" s="12">
        <f t="shared" si="18"/>
        <v>46329.59756898562</v>
      </c>
      <c r="BR14" s="12">
        <f t="shared" si="37"/>
        <v>92673.357807446882</v>
      </c>
      <c r="BS14" s="12">
        <f t="shared" si="19"/>
        <v>5520.768633838743</v>
      </c>
      <c r="BT14" s="12">
        <f t="shared" si="20"/>
        <v>14.162669475637315</v>
      </c>
      <c r="BU14" s="12">
        <v>575.29830546599987</v>
      </c>
      <c r="BV14" s="12">
        <v>578.36686051999993</v>
      </c>
      <c r="BW14" s="12">
        <f t="shared" si="38"/>
        <v>-3.0685550540000577</v>
      </c>
      <c r="BX14" s="8"/>
      <c r="BY14" s="10">
        <v>45700</v>
      </c>
      <c r="BZ14" s="14">
        <v>17989549.426665399</v>
      </c>
      <c r="CA14" s="12">
        <f t="shared" si="21"/>
        <v>46149.378726698647</v>
      </c>
      <c r="CB14" s="14">
        <v>17976442.693421669</v>
      </c>
      <c r="CC14" s="12">
        <f t="shared" si="22"/>
        <v>46115.755450095719</v>
      </c>
      <c r="CD14" s="12">
        <f t="shared" si="39"/>
        <v>92265.134176794367</v>
      </c>
      <c r="CE14" s="12">
        <f t="shared" si="23"/>
        <v>13106.733243729919</v>
      </c>
      <c r="CF14" s="12">
        <f t="shared" si="24"/>
        <v>33.62327660292177</v>
      </c>
      <c r="CG14" s="14">
        <v>572.64521241600005</v>
      </c>
      <c r="CH14" s="14">
        <v>575.94555301999992</v>
      </c>
      <c r="CI14" s="12">
        <f t="shared" si="40"/>
        <v>-3.3003406039998708</v>
      </c>
    </row>
    <row r="15" spans="1:87" x14ac:dyDescent="0.25">
      <c r="A15" s="5">
        <v>45701</v>
      </c>
      <c r="B15" s="11">
        <v>78.528000000000006</v>
      </c>
      <c r="C15" s="11">
        <v>3.2129999999999999E-5</v>
      </c>
      <c r="E15" s="10">
        <v>45701</v>
      </c>
      <c r="F15" s="11">
        <v>1648119.8231142829</v>
      </c>
      <c r="G15" s="12">
        <f t="shared" si="25"/>
        <v>4158.3787729756268</v>
      </c>
      <c r="H15" s="11">
        <v>1652194.739678452</v>
      </c>
      <c r="I15" s="12">
        <f t="shared" si="26"/>
        <v>4168.6602138662947</v>
      </c>
      <c r="J15" s="12">
        <f t="shared" si="27"/>
        <v>8327.0389868419225</v>
      </c>
      <c r="K15" s="12">
        <f t="shared" si="0"/>
        <v>-4074.916564169107</v>
      </c>
      <c r="L15" s="12">
        <f t="shared" si="1"/>
        <v>-10.281440890667932</v>
      </c>
      <c r="M15" s="11">
        <v>51.515159554</v>
      </c>
      <c r="N15" s="11">
        <v>51.716604277000002</v>
      </c>
      <c r="O15" s="12">
        <f t="shared" si="28"/>
        <v>-0.2014447230000016</v>
      </c>
      <c r="P15" s="6"/>
      <c r="Q15" s="10">
        <v>45701</v>
      </c>
      <c r="R15" s="12">
        <v>4290968.7268502694</v>
      </c>
      <c r="S15" s="12">
        <f t="shared" si="2"/>
        <v>10826.563104810806</v>
      </c>
      <c r="T15" s="12">
        <v>4322752.392120067</v>
      </c>
      <c r="U15" s="12">
        <f t="shared" si="3"/>
        <v>10906.756618129242</v>
      </c>
      <c r="V15" s="12">
        <f t="shared" si="29"/>
        <v>21733.319722940047</v>
      </c>
      <c r="W15" s="12">
        <f t="shared" si="41"/>
        <v>-31783.665269797668</v>
      </c>
      <c r="X15" s="12">
        <f t="shared" si="4"/>
        <v>-80.193513318433347</v>
      </c>
      <c r="Y15" s="12">
        <v>135.940677413</v>
      </c>
      <c r="Z15" s="12">
        <v>135.66341163000001</v>
      </c>
      <c r="AA15" s="12">
        <f t="shared" si="30"/>
        <v>0.27726578299999005</v>
      </c>
      <c r="AB15" s="8"/>
      <c r="AC15" s="10">
        <v>45701</v>
      </c>
      <c r="AD15" s="12">
        <v>17927107.471435849</v>
      </c>
      <c r="AE15" s="12">
        <f t="shared" si="5"/>
        <v>45231.968042958455</v>
      </c>
      <c r="AF15" s="12">
        <v>17894311.44887764</v>
      </c>
      <c r="AG15" s="12">
        <f t="shared" si="6"/>
        <v>45149.220246268298</v>
      </c>
      <c r="AH15" s="12">
        <f t="shared" si="31"/>
        <v>90381.18828922676</v>
      </c>
      <c r="AI15" s="12">
        <f t="shared" si="7"/>
        <v>32796.022558208555</v>
      </c>
      <c r="AJ15" s="12">
        <f t="shared" si="8"/>
        <v>82.747796690160683</v>
      </c>
      <c r="AK15" s="12">
        <v>563.01457767500006</v>
      </c>
      <c r="AL15" s="12">
        <v>566.87063025999998</v>
      </c>
      <c r="AM15" s="12">
        <f t="shared" si="32"/>
        <v>-3.8560525849999294</v>
      </c>
      <c r="AN15" s="8"/>
      <c r="AO15" s="10">
        <v>45701</v>
      </c>
      <c r="AP15" s="12">
        <v>17926941.46309128</v>
      </c>
      <c r="AQ15" s="12">
        <f t="shared" si="9"/>
        <v>45231.549186534001</v>
      </c>
      <c r="AR15" s="12">
        <v>17959971.96542735</v>
      </c>
      <c r="AS15" s="12">
        <f t="shared" si="10"/>
        <v>45314.888600239668</v>
      </c>
      <c r="AT15" s="12">
        <f t="shared" si="33"/>
        <v>90546.437786773662</v>
      </c>
      <c r="AU15" s="12">
        <f t="shared" si="11"/>
        <v>-33030.502336069942</v>
      </c>
      <c r="AV15" s="12">
        <f t="shared" si="12"/>
        <v>-83.339413705668917</v>
      </c>
      <c r="AW15" s="12">
        <v>565.08084599100005</v>
      </c>
      <c r="AX15" s="12">
        <v>566.87063025999998</v>
      </c>
      <c r="AY15" s="12">
        <f t="shared" si="34"/>
        <v>-1.7897842689999379</v>
      </c>
      <c r="AZ15" s="8"/>
      <c r="BA15" s="10">
        <v>45701</v>
      </c>
      <c r="BB15" s="12">
        <v>17854825.95793372</v>
      </c>
      <c r="BC15" s="12">
        <f t="shared" si="13"/>
        <v>45049.594220855019</v>
      </c>
      <c r="BD15" s="12">
        <v>17847183.01677525</v>
      </c>
      <c r="BE15" s="12">
        <f t="shared" si="14"/>
        <v>45030.310280554833</v>
      </c>
      <c r="BF15" s="12">
        <f t="shared" si="35"/>
        <v>90079.904501409852</v>
      </c>
      <c r="BG15" s="12">
        <f t="shared" si="15"/>
        <v>7642.9411584697664</v>
      </c>
      <c r="BH15" s="12">
        <f t="shared" si="16"/>
        <v>19.283940300182046</v>
      </c>
      <c r="BI15" s="12">
        <v>561.58096067299994</v>
      </c>
      <c r="BJ15" s="12">
        <v>564.61837801000001</v>
      </c>
      <c r="BK15" s="12">
        <f t="shared" si="36"/>
        <v>-3.037417337000079</v>
      </c>
      <c r="BL15" s="8"/>
      <c r="BM15" s="10">
        <v>45701</v>
      </c>
      <c r="BN15" s="12">
        <v>17816957.367637388</v>
      </c>
      <c r="BO15" s="12">
        <f t="shared" si="17"/>
        <v>44954.047804968082</v>
      </c>
      <c r="BP15" s="12">
        <v>17804281.94896346</v>
      </c>
      <c r="BQ15" s="12">
        <f t="shared" si="18"/>
        <v>44922.066397297953</v>
      </c>
      <c r="BR15" s="12">
        <f t="shared" si="37"/>
        <v>89876.114202266035</v>
      </c>
      <c r="BS15" s="12">
        <f t="shared" si="19"/>
        <v>12675.418673928827</v>
      </c>
      <c r="BT15" s="12">
        <f t="shared" si="20"/>
        <v>31.981407670132473</v>
      </c>
      <c r="BU15" s="12">
        <v>560.19350417600003</v>
      </c>
      <c r="BV15" s="12">
        <v>563.40633412500006</v>
      </c>
      <c r="BW15" s="12">
        <f t="shared" si="38"/>
        <v>-3.2128299490000245</v>
      </c>
      <c r="BX15" s="8"/>
      <c r="BY15" s="10">
        <v>45701</v>
      </c>
      <c r="BZ15" s="14">
        <v>17929965.955329981</v>
      </c>
      <c r="CA15" s="12">
        <f t="shared" si="21"/>
        <v>45239.180296935105</v>
      </c>
      <c r="CB15" s="14">
        <v>17925232.89195887</v>
      </c>
      <c r="CC15" s="12">
        <f t="shared" si="22"/>
        <v>45227.238282782047</v>
      </c>
      <c r="CD15" s="12">
        <f t="shared" si="39"/>
        <v>90466.418579717152</v>
      </c>
      <c r="CE15" s="12">
        <f t="shared" si="23"/>
        <v>4733.0633711107075</v>
      </c>
      <c r="CF15" s="12">
        <f t="shared" si="24"/>
        <v>11.942014153063468</v>
      </c>
      <c r="CG15" s="14">
        <v>564.06855343000007</v>
      </c>
      <c r="CH15" s="14">
        <v>567.03968551000003</v>
      </c>
      <c r="CI15" s="12">
        <f t="shared" si="40"/>
        <v>-2.9711320799999612</v>
      </c>
    </row>
    <row r="16" spans="1:87" x14ac:dyDescent="0.25">
      <c r="A16" s="5">
        <v>45702</v>
      </c>
      <c r="B16" s="11">
        <v>88.064999999999998</v>
      </c>
      <c r="C16" s="11">
        <v>3.082E-5</v>
      </c>
      <c r="E16" s="10">
        <v>45702</v>
      </c>
      <c r="F16" s="11">
        <v>1793776.861895605</v>
      </c>
      <c r="G16" s="12">
        <f t="shared" si="25"/>
        <v>4868.6033269462196</v>
      </c>
      <c r="H16" s="11">
        <v>1799982.9238605029</v>
      </c>
      <c r="I16" s="12">
        <f t="shared" si="26"/>
        <v>4885.4475925688712</v>
      </c>
      <c r="J16" s="12">
        <f t="shared" si="27"/>
        <v>9754.0509195150917</v>
      </c>
      <c r="K16" s="12">
        <f t="shared" si="0"/>
        <v>-6206.0619648979045</v>
      </c>
      <c r="L16" s="12">
        <f t="shared" si="1"/>
        <v>-16.844265622651779</v>
      </c>
      <c r="M16" s="11">
        <v>55.240770419</v>
      </c>
      <c r="N16" s="11">
        <v>55.389065798999987</v>
      </c>
      <c r="O16" s="12">
        <f t="shared" si="28"/>
        <v>-0.14829537999998621</v>
      </c>
      <c r="P16" s="6"/>
      <c r="Q16" s="10">
        <v>45702</v>
      </c>
      <c r="R16" s="12">
        <v>4094521.971779725</v>
      </c>
      <c r="S16" s="12">
        <f t="shared" si="2"/>
        <v>11113.201266848166</v>
      </c>
      <c r="T16" s="12">
        <v>4118496.8751334678</v>
      </c>
      <c r="U16" s="12">
        <f t="shared" si="3"/>
        <v>11178.273069651941</v>
      </c>
      <c r="V16" s="12">
        <f t="shared" si="29"/>
        <v>22291.474336500105</v>
      </c>
      <c r="W16" s="12">
        <f t="shared" si="41"/>
        <v>-23974.903353742789</v>
      </c>
      <c r="X16" s="12">
        <f t="shared" si="4"/>
        <v>-65.071802803775597</v>
      </c>
      <c r="Y16" s="12">
        <v>126.576894962</v>
      </c>
      <c r="Z16" s="12">
        <v>126.44551728</v>
      </c>
      <c r="AA16" s="12">
        <f t="shared" si="30"/>
        <v>0.131377681999993</v>
      </c>
      <c r="AB16" s="8"/>
      <c r="AC16" s="10">
        <v>45702</v>
      </c>
      <c r="AD16" s="12">
        <v>17143365.560780648</v>
      </c>
      <c r="AE16" s="12">
        <f t="shared" si="5"/>
        <v>46529.893643554751</v>
      </c>
      <c r="AF16" s="12">
        <v>17142220.773613561</v>
      </c>
      <c r="AG16" s="12">
        <f t="shared" si="6"/>
        <v>46526.786504239535</v>
      </c>
      <c r="AH16" s="12">
        <f t="shared" si="31"/>
        <v>93056.680147794279</v>
      </c>
      <c r="AI16" s="12">
        <f t="shared" si="7"/>
        <v>1144.7871670871973</v>
      </c>
      <c r="AJ16" s="12">
        <f t="shared" si="8"/>
        <v>3.107139315219039</v>
      </c>
      <c r="AK16" s="12">
        <v>527.00856607299988</v>
      </c>
      <c r="AL16" s="12">
        <v>529.68424042000004</v>
      </c>
      <c r="AM16" s="12">
        <f t="shared" si="32"/>
        <v>-2.6756743470001538</v>
      </c>
      <c r="AN16" s="8"/>
      <c r="AO16" s="10">
        <v>45702</v>
      </c>
      <c r="AP16" s="12">
        <v>17107722.5097537</v>
      </c>
      <c r="AQ16" s="12">
        <f t="shared" si="9"/>
        <v>46433.152582557384</v>
      </c>
      <c r="AR16" s="12">
        <v>17106593.881027881</v>
      </c>
      <c r="AS16" s="12">
        <f t="shared" si="10"/>
        <v>46430.089299890438</v>
      </c>
      <c r="AT16" s="12">
        <f t="shared" si="33"/>
        <v>92863.241882447823</v>
      </c>
      <c r="AU16" s="12">
        <f t="shared" si="11"/>
        <v>1128.6287258192897</v>
      </c>
      <c r="AV16" s="12">
        <f t="shared" si="12"/>
        <v>3.0632826669444784</v>
      </c>
      <c r="AW16" s="12">
        <v>525.91741412299996</v>
      </c>
      <c r="AX16" s="12">
        <v>528.60555301499994</v>
      </c>
      <c r="AY16" s="12">
        <f t="shared" si="34"/>
        <v>-2.6881388919999836</v>
      </c>
      <c r="AZ16" s="8"/>
      <c r="BA16" s="10">
        <v>45702</v>
      </c>
      <c r="BB16" s="12">
        <v>17144496.685762599</v>
      </c>
      <c r="BC16" s="12">
        <f t="shared" si="13"/>
        <v>46532.963701468478</v>
      </c>
      <c r="BD16" s="12">
        <v>17143229.633282341</v>
      </c>
      <c r="BE16" s="12">
        <f t="shared" si="14"/>
        <v>46529.524714127387</v>
      </c>
      <c r="BF16" s="12">
        <f t="shared" si="35"/>
        <v>93062.488415595872</v>
      </c>
      <c r="BG16" s="12">
        <f t="shared" si="15"/>
        <v>1267.0524802580476</v>
      </c>
      <c r="BH16" s="12">
        <f t="shared" si="16"/>
        <v>3.4389873410903671</v>
      </c>
      <c r="BI16" s="12">
        <v>527.09471347999988</v>
      </c>
      <c r="BJ16" s="12">
        <v>529.77911786000004</v>
      </c>
      <c r="BK16" s="12">
        <f t="shared" si="36"/>
        <v>-2.68440438000016</v>
      </c>
      <c r="BL16" s="8"/>
      <c r="BM16" s="10">
        <v>45702</v>
      </c>
      <c r="BN16" s="12">
        <v>17143541.74923753</v>
      </c>
      <c r="BO16" s="12">
        <f t="shared" si="17"/>
        <v>46530.371847798306</v>
      </c>
      <c r="BP16" s="12">
        <v>17141827.086869828</v>
      </c>
      <c r="BQ16" s="12">
        <f t="shared" si="18"/>
        <v>46525.717974127998</v>
      </c>
      <c r="BR16" s="12">
        <f t="shared" si="37"/>
        <v>93056.089821926304</v>
      </c>
      <c r="BS16" s="12">
        <f t="shared" si="19"/>
        <v>1714.6623677015305</v>
      </c>
      <c r="BT16" s="12">
        <f t="shared" si="20"/>
        <v>4.6538736703065995</v>
      </c>
      <c r="BU16" s="12">
        <v>527.0814500030001</v>
      </c>
      <c r="BV16" s="12">
        <v>529.77911786000004</v>
      </c>
      <c r="BW16" s="12">
        <f t="shared" si="38"/>
        <v>-2.6976678569999422</v>
      </c>
      <c r="BX16" s="8"/>
      <c r="BY16" s="10">
        <v>45702</v>
      </c>
      <c r="BZ16" s="14">
        <v>17143150.280234061</v>
      </c>
      <c r="CA16" s="12">
        <f t="shared" si="21"/>
        <v>46529.309336996004</v>
      </c>
      <c r="CB16" s="14">
        <v>17141366.888019528</v>
      </c>
      <c r="CC16" s="12">
        <f t="shared" si="22"/>
        <v>46524.468919297811</v>
      </c>
      <c r="CD16" s="12">
        <f t="shared" si="39"/>
        <v>93053.778256293823</v>
      </c>
      <c r="CE16" s="12">
        <f t="shared" si="23"/>
        <v>1783.3922145329416</v>
      </c>
      <c r="CF16" s="12">
        <f t="shared" si="24"/>
        <v>4.8404176981910361</v>
      </c>
      <c r="CG16" s="14">
        <v>527.07735761200001</v>
      </c>
      <c r="CH16" s="14">
        <v>529.77911786000004</v>
      </c>
      <c r="CI16" s="12">
        <f t="shared" si="40"/>
        <v>-2.7017602480000278</v>
      </c>
    </row>
    <row r="17" spans="1:87" x14ac:dyDescent="0.25">
      <c r="A17" s="5">
        <v>45703</v>
      </c>
      <c r="B17" s="11">
        <v>88.733000000000004</v>
      </c>
      <c r="C17" s="11">
        <v>3.0069999999999998E-5</v>
      </c>
      <c r="E17" s="10">
        <v>45703</v>
      </c>
      <c r="F17" s="11">
        <v>2312705.504014031</v>
      </c>
      <c r="G17" s="12">
        <f t="shared" si="25"/>
        <v>6170.7638554544474</v>
      </c>
      <c r="H17" s="11">
        <v>2281618.0367092122</v>
      </c>
      <c r="I17" s="12">
        <f t="shared" si="26"/>
        <v>6087.8162344671491</v>
      </c>
      <c r="J17" s="12">
        <f t="shared" si="27"/>
        <v>12258.580089921597</v>
      </c>
      <c r="K17" s="12">
        <f t="shared" si="0"/>
        <v>31087.467304818798</v>
      </c>
      <c r="L17" s="12">
        <f t="shared" si="1"/>
        <v>82.947620987299686</v>
      </c>
      <c r="M17" s="11">
        <v>68.884816719</v>
      </c>
      <c r="N17" s="11">
        <v>70.208099286999996</v>
      </c>
      <c r="O17" s="12">
        <f t="shared" si="28"/>
        <v>-1.3232825679999962</v>
      </c>
      <c r="P17" s="6"/>
      <c r="Q17" s="10">
        <v>45703</v>
      </c>
      <c r="R17" s="12">
        <v>4090636.1653477452</v>
      </c>
      <c r="S17" s="12">
        <f t="shared" si="2"/>
        <v>10914.640775114231</v>
      </c>
      <c r="T17" s="12">
        <v>4095089.8883990962</v>
      </c>
      <c r="U17" s="12">
        <f t="shared" si="3"/>
        <v>10926.524204794223</v>
      </c>
      <c r="V17" s="12">
        <f t="shared" si="29"/>
        <v>21841.164979908455</v>
      </c>
      <c r="W17" s="12">
        <f t="shared" si="41"/>
        <v>-4453.7230513510294</v>
      </c>
      <c r="X17" s="12">
        <f t="shared" si="4"/>
        <v>-11.883429679992014</v>
      </c>
      <c r="Y17" s="12">
        <v>123.320332888</v>
      </c>
      <c r="Z17" s="12">
        <v>123.778113969</v>
      </c>
      <c r="AA17" s="12">
        <f t="shared" si="30"/>
        <v>-0.45778108100000736</v>
      </c>
      <c r="AB17" s="8"/>
      <c r="AC17" s="10">
        <v>45703</v>
      </c>
      <c r="AD17" s="12">
        <v>17200201.11860434</v>
      </c>
      <c r="AE17" s="12">
        <f t="shared" si="5"/>
        <v>45893.599156923563</v>
      </c>
      <c r="AF17" s="12">
        <v>17231546.782117311</v>
      </c>
      <c r="AG17" s="12">
        <f t="shared" si="6"/>
        <v>45977.235697371696</v>
      </c>
      <c r="AH17" s="12">
        <f t="shared" si="31"/>
        <v>91870.834854295259</v>
      </c>
      <c r="AI17" s="12">
        <f t="shared" si="7"/>
        <v>-31345.663512971252</v>
      </c>
      <c r="AJ17" s="12">
        <f t="shared" si="8"/>
        <v>-83.636540448129097</v>
      </c>
      <c r="AK17" s="7">
        <v>519.11439754000003</v>
      </c>
      <c r="AL17" s="11">
        <v>520.74976210999989</v>
      </c>
      <c r="AM17" s="12">
        <f t="shared" si="32"/>
        <v>-1.6353645699998651</v>
      </c>
      <c r="AN17" s="8"/>
      <c r="AO17" s="10">
        <v>45703</v>
      </c>
      <c r="AP17" s="12">
        <v>17234256.76085439</v>
      </c>
      <c r="AQ17" s="12">
        <f t="shared" si="9"/>
        <v>45984.466466188045</v>
      </c>
      <c r="AR17" s="12">
        <v>17232330.57466298</v>
      </c>
      <c r="AS17" s="12">
        <f t="shared" si="10"/>
        <v>45979.327013668815</v>
      </c>
      <c r="AT17" s="12">
        <f t="shared" si="33"/>
        <v>91963.79347985686</v>
      </c>
      <c r="AU17" s="12">
        <f t="shared" si="11"/>
        <v>1926.1861914098263</v>
      </c>
      <c r="AV17" s="12">
        <f t="shared" si="12"/>
        <v>5.1394525192236094</v>
      </c>
      <c r="AW17" s="12">
        <v>519.16113123700006</v>
      </c>
      <c r="AX17" s="12">
        <v>521.82844951499999</v>
      </c>
      <c r="AY17" s="12">
        <f t="shared" si="34"/>
        <v>-2.6673182779999252</v>
      </c>
      <c r="AZ17" s="8"/>
      <c r="BA17" s="10">
        <v>45703</v>
      </c>
      <c r="BB17" s="12">
        <v>17268369.643670071</v>
      </c>
      <c r="BC17" s="12">
        <f t="shared" si="13"/>
        <v>46075.486504804714</v>
      </c>
      <c r="BD17" s="12">
        <v>17264854.786778949</v>
      </c>
      <c r="BE17" s="12">
        <f t="shared" si="14"/>
        <v>46066.108159043361</v>
      </c>
      <c r="BF17" s="12">
        <f t="shared" si="35"/>
        <v>92141.594663848082</v>
      </c>
      <c r="BG17" s="12">
        <f t="shared" si="15"/>
        <v>3514.8568911217153</v>
      </c>
      <c r="BH17" s="12">
        <f t="shared" si="16"/>
        <v>9.3783457613534882</v>
      </c>
      <c r="BI17" s="12">
        <v>520.19449053699998</v>
      </c>
      <c r="BJ17" s="12">
        <v>522.90713692000008</v>
      </c>
      <c r="BK17" s="12">
        <f t="shared" si="36"/>
        <v>-2.7126463830001057</v>
      </c>
      <c r="BL17" s="8"/>
      <c r="BM17" s="10">
        <v>45703</v>
      </c>
      <c r="BN17" s="12">
        <v>17232863.026823249</v>
      </c>
      <c r="BO17" s="12">
        <f t="shared" si="17"/>
        <v>45980.747703220361</v>
      </c>
      <c r="BP17" s="12">
        <v>17229231.36290798</v>
      </c>
      <c r="BQ17" s="12">
        <f t="shared" si="18"/>
        <v>45971.057692804156</v>
      </c>
      <c r="BR17" s="12">
        <f t="shared" si="37"/>
        <v>91951.805396024516</v>
      </c>
      <c r="BS17" s="12">
        <f t="shared" si="19"/>
        <v>3631.6639152690768</v>
      </c>
      <c r="BT17" s="12">
        <f t="shared" si="20"/>
        <v>9.6900104162006784</v>
      </c>
      <c r="BU17" s="12">
        <v>519.10309377800002</v>
      </c>
      <c r="BV17" s="12">
        <v>521.82746878</v>
      </c>
      <c r="BW17" s="12">
        <f t="shared" si="38"/>
        <v>-2.7243750019999879</v>
      </c>
      <c r="BX17" s="8"/>
      <c r="BY17" s="10">
        <v>45703</v>
      </c>
      <c r="BZ17" s="14">
        <v>17159191.41420253</v>
      </c>
      <c r="CA17" s="12">
        <f t="shared" si="21"/>
        <v>45784.177009915948</v>
      </c>
      <c r="CB17" s="14">
        <v>17160067.046460401</v>
      </c>
      <c r="CC17" s="12">
        <f t="shared" si="22"/>
        <v>45786.513373053473</v>
      </c>
      <c r="CD17" s="12">
        <f t="shared" si="39"/>
        <v>91570.69038296942</v>
      </c>
      <c r="CE17" s="12">
        <f t="shared" si="23"/>
        <v>-875.63225787132978</v>
      </c>
      <c r="CF17" s="12">
        <f t="shared" si="24"/>
        <v>-2.3363631375305398</v>
      </c>
      <c r="CG17" s="14">
        <v>517.04062785299993</v>
      </c>
      <c r="CH17" s="14">
        <v>519.61153195500003</v>
      </c>
      <c r="CI17" s="12">
        <f t="shared" si="40"/>
        <v>-2.5709041020000996</v>
      </c>
    </row>
    <row r="18" spans="1:87" x14ac:dyDescent="0.25">
      <c r="A18" s="5">
        <v>45704</v>
      </c>
      <c r="B18" s="11">
        <v>85.38</v>
      </c>
      <c r="C18" s="11">
        <v>3.0630000000000003E-5</v>
      </c>
      <c r="E18" s="10">
        <v>45704</v>
      </c>
      <c r="F18" s="11">
        <v>1045979.465068463</v>
      </c>
      <c r="G18" s="12">
        <f t="shared" si="25"/>
        <v>2735.4344096647151</v>
      </c>
      <c r="H18" s="11">
        <v>1072777.4117940811</v>
      </c>
      <c r="I18" s="12">
        <f t="shared" si="26"/>
        <v>2805.5161158833157</v>
      </c>
      <c r="J18" s="12">
        <f t="shared" si="27"/>
        <v>5540.9505255480308</v>
      </c>
      <c r="K18" s="12">
        <f t="shared" si="0"/>
        <v>-26797.946725618094</v>
      </c>
      <c r="L18" s="12">
        <f t="shared" si="1"/>
        <v>-70.081706218601155</v>
      </c>
      <c r="M18" s="11">
        <v>32.856624934999999</v>
      </c>
      <c r="N18" s="11">
        <v>32.212387102000001</v>
      </c>
      <c r="O18" s="12">
        <f t="shared" si="28"/>
        <v>0.64423783299999826</v>
      </c>
      <c r="P18" s="6"/>
      <c r="Q18" s="10">
        <v>45704</v>
      </c>
      <c r="R18" s="12">
        <v>3993427.5132309371</v>
      </c>
      <c r="S18" s="12">
        <f t="shared" si="2"/>
        <v>10443.569302269907</v>
      </c>
      <c r="T18" s="12">
        <v>4012794.06441786</v>
      </c>
      <c r="U18" s="12">
        <f t="shared" si="3"/>
        <v>10494.216501648505</v>
      </c>
      <c r="V18" s="12">
        <f t="shared" si="29"/>
        <v>20937.785803918414</v>
      </c>
      <c r="W18" s="12">
        <f t="shared" si="41"/>
        <v>-19366.551186922938</v>
      </c>
      <c r="X18" s="12">
        <f t="shared" si="4"/>
        <v>-50.647199378598287</v>
      </c>
      <c r="Y18" s="12">
        <v>122.792345907</v>
      </c>
      <c r="Z18" s="12">
        <v>122.80021493</v>
      </c>
      <c r="AA18" s="12">
        <f t="shared" si="30"/>
        <v>-7.8690229999978101E-3</v>
      </c>
      <c r="AB18" s="8"/>
      <c r="AC18" s="10">
        <v>45704</v>
      </c>
      <c r="AD18" s="12">
        <v>17760594.20291096</v>
      </c>
      <c r="AE18" s="12">
        <f t="shared" si="5"/>
        <v>46447.317697154191</v>
      </c>
      <c r="AF18" s="12">
        <v>17735211.770059649</v>
      </c>
      <c r="AG18" s="12">
        <f t="shared" si="6"/>
        <v>46380.937827815229</v>
      </c>
      <c r="AH18" s="12">
        <f t="shared" si="31"/>
        <v>92828.255524969427</v>
      </c>
      <c r="AI18" s="12">
        <f t="shared" si="7"/>
        <v>25382.432851310819</v>
      </c>
      <c r="AJ18" s="12">
        <f t="shared" si="8"/>
        <v>66.379869338959836</v>
      </c>
      <c r="AK18" s="12">
        <v>542.80091575799997</v>
      </c>
      <c r="AL18" s="12">
        <v>546.31885393000005</v>
      </c>
      <c r="AM18" s="12">
        <f t="shared" si="32"/>
        <v>-3.517938172000072</v>
      </c>
      <c r="AN18" s="8"/>
      <c r="AO18" s="10">
        <v>45704</v>
      </c>
      <c r="AP18" s="12">
        <v>17759777.092512079</v>
      </c>
      <c r="AQ18" s="12">
        <f t="shared" si="9"/>
        <v>46445.180798700407</v>
      </c>
      <c r="AR18" s="13">
        <v>17734443.254880611</v>
      </c>
      <c r="AS18" s="12">
        <f t="shared" si="10"/>
        <v>46378.928015065278</v>
      </c>
      <c r="AT18" s="12">
        <f t="shared" si="33"/>
        <v>92824.108813765692</v>
      </c>
      <c r="AU18" s="12">
        <f t="shared" si="11"/>
        <v>25333.83763146773</v>
      </c>
      <c r="AV18" s="12">
        <f t="shared" si="12"/>
        <v>66.252783635135515</v>
      </c>
      <c r="AW18" s="12">
        <v>542.79313710999998</v>
      </c>
      <c r="AX18" s="12">
        <v>546.31885393000005</v>
      </c>
      <c r="AY18" s="12">
        <f t="shared" si="34"/>
        <v>-3.5257168200000706</v>
      </c>
      <c r="AZ18" s="8"/>
      <c r="BA18" s="10">
        <v>45704</v>
      </c>
      <c r="BB18" s="12">
        <v>17758862.973305952</v>
      </c>
      <c r="BC18" s="12">
        <f t="shared" si="13"/>
        <v>46442.790203842203</v>
      </c>
      <c r="BD18" s="12">
        <v>17782476.688432392</v>
      </c>
      <c r="BE18" s="12">
        <f t="shared" si="14"/>
        <v>46504.544541335497</v>
      </c>
      <c r="BF18" s="12">
        <f t="shared" si="35"/>
        <v>92947.334745177708</v>
      </c>
      <c r="BG18" s="12">
        <f t="shared" si="15"/>
        <v>-23613.715126439929</v>
      </c>
      <c r="BH18" s="12">
        <f t="shared" si="16"/>
        <v>-61.754337493285362</v>
      </c>
      <c r="BI18" s="12">
        <v>544.31703232500001</v>
      </c>
      <c r="BJ18" s="12">
        <v>546.31885393000005</v>
      </c>
      <c r="BK18" s="12">
        <f t="shared" si="36"/>
        <v>-2.0018216050000319</v>
      </c>
      <c r="BL18" s="8"/>
      <c r="BM18" s="10">
        <v>45704</v>
      </c>
      <c r="BN18" s="12">
        <v>17757856.757355809</v>
      </c>
      <c r="BO18" s="12">
        <f t="shared" si="17"/>
        <v>46440.158758555284</v>
      </c>
      <c r="BP18" s="12">
        <v>17788069.502137229</v>
      </c>
      <c r="BQ18" s="12">
        <f t="shared" si="18"/>
        <v>46519.17080845256</v>
      </c>
      <c r="BR18" s="12">
        <f t="shared" si="37"/>
        <v>92959.329567007837</v>
      </c>
      <c r="BS18" s="12">
        <f t="shared" si="19"/>
        <v>-30212.744781419635</v>
      </c>
      <c r="BT18" s="12">
        <f t="shared" si="20"/>
        <v>-79.012049897273954</v>
      </c>
      <c r="BU18" s="12">
        <v>544.51400460900004</v>
      </c>
      <c r="BV18" s="12">
        <v>546.31885393000005</v>
      </c>
      <c r="BW18" s="12">
        <f t="shared" si="38"/>
        <v>-1.8048493210000061</v>
      </c>
      <c r="BX18" s="8"/>
      <c r="BY18" s="10">
        <v>45704</v>
      </c>
      <c r="BZ18" s="14">
        <v>17829919.733216811</v>
      </c>
      <c r="CA18" s="12">
        <f t="shared" si="21"/>
        <v>46628.617089159437</v>
      </c>
      <c r="CB18" s="14">
        <v>17853748.997294109</v>
      </c>
      <c r="CC18" s="12">
        <f t="shared" si="22"/>
        <v>46690.935127984187</v>
      </c>
      <c r="CD18" s="12">
        <f t="shared" si="39"/>
        <v>93319.552217143617</v>
      </c>
      <c r="CE18" s="12">
        <f t="shared" si="23"/>
        <v>-23829.264077298343</v>
      </c>
      <c r="CF18" s="12">
        <f t="shared" si="24"/>
        <v>-62.318038824751412</v>
      </c>
      <c r="CG18" s="14">
        <v>546.511682576</v>
      </c>
      <c r="CH18" s="14">
        <v>548.52712915000006</v>
      </c>
      <c r="CI18" s="12">
        <f t="shared" si="40"/>
        <v>-2.015446574000066</v>
      </c>
    </row>
    <row r="19" spans="1:87" x14ac:dyDescent="0.25">
      <c r="A19" s="5">
        <v>45705</v>
      </c>
      <c r="B19" s="11">
        <v>86.171999999999997</v>
      </c>
      <c r="C19" s="11">
        <v>3.0090000000000002E-5</v>
      </c>
      <c r="E19" s="10">
        <v>45705</v>
      </c>
      <c r="F19" s="11">
        <v>286132.76153784199</v>
      </c>
      <c r="G19" s="12">
        <f t="shared" si="25"/>
        <v>741.91806672661903</v>
      </c>
      <c r="H19" s="11">
        <v>294732.32306881802</v>
      </c>
      <c r="I19" s="12">
        <f t="shared" si="26"/>
        <v>764.21600294149937</v>
      </c>
      <c r="J19" s="12">
        <f t="shared" si="27"/>
        <v>1506.1340696681184</v>
      </c>
      <c r="K19" s="12">
        <f t="shared" si="0"/>
        <v>-8599.5615309760324</v>
      </c>
      <c r="L19" s="12">
        <f t="shared" si="1"/>
        <v>-22.297936214880256</v>
      </c>
      <c r="M19" s="11">
        <v>8.8665849189999992</v>
      </c>
      <c r="N19" s="11">
        <v>8.6528569680000018</v>
      </c>
      <c r="O19" s="12">
        <f t="shared" si="28"/>
        <v>0.21372795099999742</v>
      </c>
      <c r="P19" s="6"/>
      <c r="Q19" s="10">
        <v>45705</v>
      </c>
      <c r="R19" s="12">
        <v>3595994.1812981348</v>
      </c>
      <c r="S19" s="12">
        <f t="shared" si="2"/>
        <v>9324.1089786778612</v>
      </c>
      <c r="T19" s="12">
        <v>3607159.329676955</v>
      </c>
      <c r="U19" s="12">
        <f t="shared" si="3"/>
        <v>9353.0592647458016</v>
      </c>
      <c r="V19" s="12">
        <f t="shared" si="29"/>
        <v>18677.168243423665</v>
      </c>
      <c r="W19" s="12">
        <f t="shared" si="41"/>
        <v>-11165.148378820159</v>
      </c>
      <c r="X19" s="12">
        <f t="shared" si="4"/>
        <v>-28.950286067939697</v>
      </c>
      <c r="Y19" s="12">
        <v>108.25749875299999</v>
      </c>
      <c r="Z19" s="12">
        <v>108.44360494199999</v>
      </c>
      <c r="AA19" s="12">
        <f t="shared" si="30"/>
        <v>-0.1861061890000002</v>
      </c>
      <c r="AB19" s="8"/>
      <c r="AC19" s="10">
        <v>45705</v>
      </c>
      <c r="AD19" s="12">
        <v>18011651.156557281</v>
      </c>
      <c r="AE19" s="12">
        <f t="shared" si="5"/>
        <v>46702.689104197278</v>
      </c>
      <c r="AF19" s="12">
        <v>18032844.432822231</v>
      </c>
      <c r="AG19" s="12">
        <f t="shared" si="6"/>
        <v>46757.641478296588</v>
      </c>
      <c r="AH19" s="12">
        <f t="shared" si="31"/>
        <v>93460.330582493858</v>
      </c>
      <c r="AI19" s="12">
        <f t="shared" si="7"/>
        <v>-21193.276264950633</v>
      </c>
      <c r="AJ19" s="12">
        <f t="shared" si="8"/>
        <v>-54.952374099307079</v>
      </c>
      <c r="AK19" s="12">
        <v>541.425617354</v>
      </c>
      <c r="AL19" s="12">
        <v>543.500934745</v>
      </c>
      <c r="AM19" s="12">
        <f t="shared" si="32"/>
        <v>-2.0753173909999987</v>
      </c>
      <c r="AN19" s="8"/>
      <c r="AO19" s="10">
        <v>45705</v>
      </c>
      <c r="AP19" s="12">
        <v>18047657.506331619</v>
      </c>
      <c r="AQ19" s="12">
        <f t="shared" si="9"/>
        <v>46796.050525905455</v>
      </c>
      <c r="AR19" s="12">
        <v>18068772.060403109</v>
      </c>
      <c r="AS19" s="12">
        <f t="shared" si="10"/>
        <v>46850.798780010715</v>
      </c>
      <c r="AT19" s="12">
        <f t="shared" si="33"/>
        <v>93646.84930591617</v>
      </c>
      <c r="AU19" s="12">
        <f t="shared" si="11"/>
        <v>-21114.554071489722</v>
      </c>
      <c r="AV19" s="12">
        <f t="shared" si="12"/>
        <v>-54.748254105262724</v>
      </c>
      <c r="AW19" s="12">
        <v>542.51167909900005</v>
      </c>
      <c r="AX19" s="12">
        <v>544.60532906999993</v>
      </c>
      <c r="AY19" s="12">
        <f t="shared" si="34"/>
        <v>-2.093649970999877</v>
      </c>
      <c r="AZ19" s="8"/>
      <c r="BA19" s="10">
        <v>45705</v>
      </c>
      <c r="BB19" s="12">
        <v>18046686.916814499</v>
      </c>
      <c r="BC19" s="12">
        <f t="shared" si="13"/>
        <v>46793.533869321785</v>
      </c>
      <c r="BD19" s="12">
        <v>18038146.970356651</v>
      </c>
      <c r="BE19" s="12">
        <f t="shared" si="14"/>
        <v>46771.390509952864</v>
      </c>
      <c r="BF19" s="12">
        <f t="shared" si="35"/>
        <v>93564.924379274657</v>
      </c>
      <c r="BG19" s="12">
        <f t="shared" si="15"/>
        <v>8539.9464578479528</v>
      </c>
      <c r="BH19" s="12">
        <f t="shared" si="16"/>
        <v>22.143359368925125</v>
      </c>
      <c r="BI19" s="12">
        <v>541.632626942</v>
      </c>
      <c r="BJ19" s="12">
        <v>544.60532906999993</v>
      </c>
      <c r="BK19" s="12">
        <f t="shared" si="36"/>
        <v>-2.9727021279999235</v>
      </c>
      <c r="BL19" s="8"/>
      <c r="BM19" s="10">
        <v>45705</v>
      </c>
      <c r="BN19" s="12">
        <v>18008876.927241579</v>
      </c>
      <c r="BO19" s="12">
        <f t="shared" si="17"/>
        <v>46695.495762059523</v>
      </c>
      <c r="BP19" s="12">
        <v>18002788.918948758</v>
      </c>
      <c r="BQ19" s="12">
        <f t="shared" si="18"/>
        <v>46679.7100711147</v>
      </c>
      <c r="BR19" s="12">
        <f t="shared" si="37"/>
        <v>93375.20583317423</v>
      </c>
      <c r="BS19" s="12">
        <f t="shared" si="19"/>
        <v>6088.0082928203046</v>
      </c>
      <c r="BT19" s="12">
        <f t="shared" si="20"/>
        <v>15.785690944822141</v>
      </c>
      <c r="BU19" s="12">
        <v>540.57560359700005</v>
      </c>
      <c r="BV19" s="12">
        <v>543.48794493000003</v>
      </c>
      <c r="BW19" s="12">
        <f t="shared" si="38"/>
        <v>-2.9123413329999721</v>
      </c>
      <c r="BX19" s="8"/>
      <c r="BY19" s="10">
        <v>45705</v>
      </c>
      <c r="BZ19" s="14">
        <v>18045180.992485311</v>
      </c>
      <c r="CA19" s="12">
        <f t="shared" si="21"/>
        <v>46789.629134816925</v>
      </c>
      <c r="CB19" s="14">
        <v>18032013.201966211</v>
      </c>
      <c r="CC19" s="12">
        <f t="shared" si="22"/>
        <v>46755.486166942552</v>
      </c>
      <c r="CD19" s="12">
        <f t="shared" si="39"/>
        <v>93545.115301759477</v>
      </c>
      <c r="CE19" s="12">
        <f t="shared" si="23"/>
        <v>13167.790519099683</v>
      </c>
      <c r="CF19" s="12">
        <f t="shared" si="24"/>
        <v>34.142967874370804</v>
      </c>
      <c r="CG19" s="14">
        <v>541.49312401499992</v>
      </c>
      <c r="CH19" s="14">
        <v>544.60532906999993</v>
      </c>
      <c r="CI19" s="12">
        <f t="shared" si="40"/>
        <v>-3.112205055000004</v>
      </c>
    </row>
    <row r="20" spans="1:87" x14ac:dyDescent="0.25">
      <c r="A20" s="5">
        <v>45706</v>
      </c>
      <c r="B20" s="17">
        <v>85.010999999999996</v>
      </c>
      <c r="C20" s="17">
        <v>3.021E-5</v>
      </c>
      <c r="E20" s="10">
        <v>45706</v>
      </c>
      <c r="F20" s="11">
        <v>85219.170917399009</v>
      </c>
      <c r="G20" s="12">
        <f t="shared" si="25"/>
        <v>218.85836722293058</v>
      </c>
      <c r="H20" s="11">
        <v>77745.760141669001</v>
      </c>
      <c r="I20" s="12">
        <f t="shared" si="26"/>
        <v>199.66528587333741</v>
      </c>
      <c r="J20" s="12">
        <f t="shared" si="27"/>
        <v>418.52365309626799</v>
      </c>
      <c r="K20" s="12">
        <f t="shared" si="0"/>
        <v>7473.410775730008</v>
      </c>
      <c r="L20" s="12">
        <f t="shared" si="1"/>
        <v>19.193081349593182</v>
      </c>
      <c r="M20" s="11">
        <v>2.3410450040000002</v>
      </c>
      <c r="N20" s="11">
        <v>2.5806784359999999</v>
      </c>
      <c r="O20" s="12">
        <f t="shared" si="28"/>
        <v>-0.23963343199999976</v>
      </c>
      <c r="P20" s="6"/>
      <c r="Q20" s="10">
        <v>45706</v>
      </c>
      <c r="R20" s="12">
        <v>2548037.8192387042</v>
      </c>
      <c r="S20" s="12">
        <f t="shared" si="2"/>
        <v>6543.8256525798179</v>
      </c>
      <c r="T20" s="12">
        <v>2560958.4974384112</v>
      </c>
      <c r="U20" s="12">
        <f t="shared" si="3"/>
        <v>6577.0083097655079</v>
      </c>
      <c r="V20" s="12">
        <f t="shared" si="29"/>
        <v>13120.833962345325</v>
      </c>
      <c r="W20" s="12">
        <f t="shared" si="41"/>
        <v>-12920.678199707065</v>
      </c>
      <c r="X20" s="12">
        <f t="shared" si="4"/>
        <v>-33.182657185690331</v>
      </c>
      <c r="Y20" s="12">
        <v>77.924951569000001</v>
      </c>
      <c r="Z20" s="12">
        <v>77.901790629999994</v>
      </c>
      <c r="AA20" s="12">
        <f t="shared" si="30"/>
        <v>2.3160939000007374E-2</v>
      </c>
      <c r="AB20" s="8"/>
      <c r="AC20" s="10">
        <v>45706</v>
      </c>
      <c r="AD20" s="12">
        <v>18152902.16908263</v>
      </c>
      <c r="AE20" s="12">
        <f t="shared" si="5"/>
        <v>46619.962225798641</v>
      </c>
      <c r="AF20" s="12">
        <v>18133273.466966119</v>
      </c>
      <c r="AG20" s="12">
        <f t="shared" si="6"/>
        <v>46569.552140254753</v>
      </c>
      <c r="AH20" s="12">
        <f t="shared" si="31"/>
        <v>93189.514366053394</v>
      </c>
      <c r="AI20" s="12">
        <f t="shared" si="7"/>
        <v>19628.702116511762</v>
      </c>
      <c r="AJ20" s="12">
        <f t="shared" si="8"/>
        <v>50.41008554388506</v>
      </c>
      <c r="AK20" s="12">
        <v>554.38317004200007</v>
      </c>
      <c r="AL20" s="12">
        <v>557.76823289000004</v>
      </c>
      <c r="AM20" s="12">
        <f t="shared" si="32"/>
        <v>-3.3850628479999614</v>
      </c>
      <c r="AN20" s="8"/>
      <c r="AO20" s="10">
        <v>45706</v>
      </c>
      <c r="AP20" s="12">
        <v>18152301.647587001</v>
      </c>
      <c r="AQ20" s="12">
        <f t="shared" si="9"/>
        <v>46618.419977116791</v>
      </c>
      <c r="AR20" s="12">
        <v>18132683.773716711</v>
      </c>
      <c r="AS20" s="12">
        <f t="shared" si="10"/>
        <v>46568.037700483299</v>
      </c>
      <c r="AT20" s="12">
        <f t="shared" si="33"/>
        <v>93186.45767760009</v>
      </c>
      <c r="AU20" s="12">
        <f t="shared" si="11"/>
        <v>19617.873870290816</v>
      </c>
      <c r="AV20" s="12">
        <f t="shared" si="12"/>
        <v>50.382276633492104</v>
      </c>
      <c r="AW20" s="12">
        <v>554.37334101300007</v>
      </c>
      <c r="AX20" s="12">
        <v>557.76823289000004</v>
      </c>
      <c r="AY20" s="12">
        <f t="shared" si="34"/>
        <v>-3.3948918769999636</v>
      </c>
      <c r="AZ20" s="8"/>
      <c r="BA20" s="10">
        <v>45706</v>
      </c>
      <c r="BB20" s="12">
        <v>18151457.653212599</v>
      </c>
      <c r="BC20" s="12">
        <f t="shared" si="13"/>
        <v>46616.252445694714</v>
      </c>
      <c r="BD20" s="12">
        <v>18173316.829546809</v>
      </c>
      <c r="BE20" s="12">
        <f t="shared" si="14"/>
        <v>46672.390795667401</v>
      </c>
      <c r="BF20" s="12">
        <f t="shared" si="35"/>
        <v>93288.643241362122</v>
      </c>
      <c r="BG20" s="12">
        <f t="shared" si="15"/>
        <v>-21859.17633420974</v>
      </c>
      <c r="BH20" s="12">
        <f t="shared" si="16"/>
        <v>-56.138349972688104</v>
      </c>
      <c r="BI20" s="12">
        <v>555.66113465000001</v>
      </c>
      <c r="BJ20" s="12">
        <v>557.76823289000004</v>
      </c>
      <c r="BK20" s="12">
        <f t="shared" si="36"/>
        <v>-2.1070982400000275</v>
      </c>
      <c r="BL20" s="8"/>
      <c r="BM20" s="10">
        <v>45706</v>
      </c>
      <c r="BN20" s="12">
        <v>18150642.245993819</v>
      </c>
      <c r="BO20" s="12">
        <f t="shared" si="17"/>
        <v>46614.158331299994</v>
      </c>
      <c r="BP20" s="12">
        <v>18136417.610012449</v>
      </c>
      <c r="BQ20" s="12">
        <f t="shared" si="18"/>
        <v>46577.626872806446</v>
      </c>
      <c r="BR20" s="12">
        <f t="shared" si="37"/>
        <v>93191.785204106447</v>
      </c>
      <c r="BS20" s="12">
        <f t="shared" si="19"/>
        <v>14224.635981369764</v>
      </c>
      <c r="BT20" s="12">
        <f t="shared" si="20"/>
        <v>36.531458493543312</v>
      </c>
      <c r="BU20" s="12">
        <v>554.54508387800001</v>
      </c>
      <c r="BV20" s="12">
        <v>557.76823289000004</v>
      </c>
      <c r="BW20" s="12">
        <f t="shared" si="38"/>
        <v>-3.2231490120000217</v>
      </c>
      <c r="BX20" s="8"/>
      <c r="BY20" s="10">
        <v>45706</v>
      </c>
      <c r="BZ20" s="14">
        <v>18149683.622019641</v>
      </c>
      <c r="CA20" s="12">
        <f t="shared" si="21"/>
        <v>46611.696410167569</v>
      </c>
      <c r="CB20" s="14">
        <v>18135477.108878501</v>
      </c>
      <c r="CC20" s="12">
        <f t="shared" si="22"/>
        <v>46575.211494431707</v>
      </c>
      <c r="CD20" s="12">
        <f t="shared" si="39"/>
        <v>93186.907904599269</v>
      </c>
      <c r="CE20" s="12">
        <f t="shared" si="23"/>
        <v>14206.513141140342</v>
      </c>
      <c r="CF20" s="12">
        <f t="shared" si="24"/>
        <v>36.484915735859154</v>
      </c>
      <c r="CG20" s="14">
        <v>554.55054838000001</v>
      </c>
      <c r="CH20" s="14">
        <v>557.76823289000004</v>
      </c>
      <c r="CI20" s="12">
        <f t="shared" si="40"/>
        <v>-3.2176845100000264</v>
      </c>
    </row>
    <row r="21" spans="1:87" x14ac:dyDescent="0.25">
      <c r="A21" s="5">
        <v>45707</v>
      </c>
      <c r="B21" s="17">
        <v>81.634</v>
      </c>
      <c r="C21" s="17">
        <v>3.1000000000000001E-5</v>
      </c>
      <c r="E21" s="10">
        <v>45707</v>
      </c>
      <c r="F21" s="11">
        <v>0</v>
      </c>
      <c r="G21" s="12">
        <f t="shared" si="25"/>
        <v>0</v>
      </c>
      <c r="H21" s="11">
        <v>0</v>
      </c>
      <c r="I21" s="12">
        <f t="shared" si="26"/>
        <v>0</v>
      </c>
      <c r="J21" s="12">
        <f t="shared" si="27"/>
        <v>0</v>
      </c>
      <c r="K21" s="12">
        <f t="shared" si="0"/>
        <v>0</v>
      </c>
      <c r="L21" s="12">
        <f t="shared" si="1"/>
        <v>0</v>
      </c>
      <c r="M21" s="11">
        <v>0</v>
      </c>
      <c r="N21" s="11">
        <v>0</v>
      </c>
      <c r="O21" s="12">
        <f t="shared" si="28"/>
        <v>0</v>
      </c>
      <c r="P21" s="6"/>
      <c r="Q21" s="10">
        <v>45707</v>
      </c>
      <c r="R21" s="12">
        <v>0</v>
      </c>
      <c r="S21" s="12">
        <f t="shared" si="2"/>
        <v>0</v>
      </c>
      <c r="T21" s="12">
        <v>0</v>
      </c>
      <c r="U21" s="12">
        <f t="shared" si="3"/>
        <v>0</v>
      </c>
      <c r="V21" s="12">
        <f t="shared" si="29"/>
        <v>0</v>
      </c>
      <c r="W21" s="12">
        <f t="shared" si="41"/>
        <v>0</v>
      </c>
      <c r="X21" s="12">
        <f t="shared" si="4"/>
        <v>0</v>
      </c>
      <c r="Y21" s="12">
        <v>0</v>
      </c>
      <c r="Z21" s="12">
        <v>0</v>
      </c>
      <c r="AA21" s="12">
        <f t="shared" si="30"/>
        <v>0</v>
      </c>
      <c r="AB21" s="8"/>
      <c r="AC21" s="10">
        <v>45707</v>
      </c>
      <c r="AD21" s="12">
        <v>18588422.987599518</v>
      </c>
      <c r="AE21" s="12">
        <f t="shared" si="5"/>
        <v>47040.86698726067</v>
      </c>
      <c r="AF21" s="12">
        <v>18605782.16144957</v>
      </c>
      <c r="AG21" s="12">
        <f t="shared" si="6"/>
        <v>47084.797050000998</v>
      </c>
      <c r="AH21" s="12">
        <f t="shared" si="31"/>
        <v>94125.664037261668</v>
      </c>
      <c r="AI21" s="12">
        <f t="shared" si="7"/>
        <v>-17359.173850052059</v>
      </c>
      <c r="AJ21" s="12">
        <f t="shared" si="8"/>
        <v>-43.930062740329646</v>
      </c>
      <c r="AK21" s="12">
        <v>575.61031006000007</v>
      </c>
      <c r="AL21" s="12">
        <v>577.95694829000001</v>
      </c>
      <c r="AM21" s="12">
        <f t="shared" si="32"/>
        <v>-2.3466382299999395</v>
      </c>
      <c r="AN21" s="8"/>
      <c r="AO21" s="10">
        <v>45707</v>
      </c>
      <c r="AP21" s="12">
        <v>17881615.454117</v>
      </c>
      <c r="AQ21" s="12">
        <f t="shared" si="9"/>
        <v>45252.181675423002</v>
      </c>
      <c r="AR21" s="12">
        <v>17875634.58655243</v>
      </c>
      <c r="AS21" s="12">
        <f t="shared" si="10"/>
        <v>45237.046168997258</v>
      </c>
      <c r="AT21" s="12">
        <f t="shared" si="33"/>
        <v>90489.227844420268</v>
      </c>
      <c r="AU21" s="12">
        <f t="shared" si="11"/>
        <v>5980.8675645701587</v>
      </c>
      <c r="AV21" s="12">
        <f t="shared" si="12"/>
        <v>15.13550642574973</v>
      </c>
      <c r="AW21" s="12">
        <v>553.06657419199996</v>
      </c>
      <c r="AX21" s="12">
        <v>556.03548882999996</v>
      </c>
      <c r="AY21" s="12">
        <f t="shared" si="34"/>
        <v>-2.9689146380000011</v>
      </c>
      <c r="AZ21" s="8"/>
      <c r="BA21" s="10">
        <v>45707</v>
      </c>
      <c r="BB21" s="12">
        <v>18587272.217851389</v>
      </c>
      <c r="BC21" s="12">
        <f t="shared" si="13"/>
        <v>47037.954787194489</v>
      </c>
      <c r="BD21" s="12">
        <v>18568315.05948519</v>
      </c>
      <c r="BE21" s="12">
        <f t="shared" si="14"/>
        <v>46989.980778546436</v>
      </c>
      <c r="BF21" s="12">
        <f t="shared" si="35"/>
        <v>94027.935565740918</v>
      </c>
      <c r="BG21" s="12">
        <f t="shared" si="15"/>
        <v>18957.158366199583</v>
      </c>
      <c r="BH21" s="12">
        <f t="shared" si="16"/>
        <v>47.97400864805644</v>
      </c>
      <c r="BI21" s="12">
        <v>574.484312768</v>
      </c>
      <c r="BJ21" s="12">
        <v>577.95694829000001</v>
      </c>
      <c r="BK21" s="12">
        <f t="shared" si="36"/>
        <v>-3.4726355220000187</v>
      </c>
      <c r="BL21" s="8"/>
      <c r="BM21" s="10">
        <v>45707</v>
      </c>
      <c r="BN21" s="12">
        <v>3666441.7321855389</v>
      </c>
      <c r="BO21" s="12">
        <f t="shared" si="17"/>
        <v>9278.495435322262</v>
      </c>
      <c r="BP21" s="12">
        <v>3666016.1633397709</v>
      </c>
      <c r="BQ21" s="12">
        <f t="shared" si="18"/>
        <v>9277.4184678204438</v>
      </c>
      <c r="BR21" s="12">
        <f t="shared" si="37"/>
        <v>18555.913903142704</v>
      </c>
      <c r="BS21" s="12">
        <f t="shared" si="19"/>
        <v>425.56884576799348</v>
      </c>
      <c r="BT21" s="12">
        <f t="shared" si="20"/>
        <v>1.0769675018181559</v>
      </c>
      <c r="BU21" s="12">
        <v>113.385607314</v>
      </c>
      <c r="BV21" s="12">
        <v>113.96954348</v>
      </c>
      <c r="BW21" s="12">
        <f t="shared" si="38"/>
        <v>-0.58393616600000087</v>
      </c>
      <c r="BX21" s="8"/>
      <c r="BY21" s="10">
        <v>45707</v>
      </c>
      <c r="BZ21" s="14">
        <v>18549493.406967409</v>
      </c>
      <c r="CA21" s="12">
        <f t="shared" si="21"/>
        <v>46942.349688315706</v>
      </c>
      <c r="CB21" s="14">
        <v>18576076.772088122</v>
      </c>
      <c r="CC21" s="12">
        <f t="shared" si="22"/>
        <v>47009.622987591894</v>
      </c>
      <c r="CD21" s="12">
        <f t="shared" si="39"/>
        <v>93951.9726759076</v>
      </c>
      <c r="CE21" s="12">
        <f t="shared" si="23"/>
        <v>-26583.365120712668</v>
      </c>
      <c r="CF21" s="12">
        <f t="shared" si="24"/>
        <v>-67.273299276192006</v>
      </c>
      <c r="CG21" s="14">
        <v>574.73832552099998</v>
      </c>
      <c r="CH21" s="14">
        <v>576.80501425500006</v>
      </c>
      <c r="CI21" s="12">
        <f t="shared" si="40"/>
        <v>-2.0666887340000812</v>
      </c>
    </row>
    <row r="22" spans="1:87" x14ac:dyDescent="0.25">
      <c r="A22" s="5">
        <v>45708</v>
      </c>
      <c r="B22" s="17">
        <v>84.402000000000001</v>
      </c>
      <c r="C22" s="17">
        <v>3.0800000000000003E-5</v>
      </c>
      <c r="E22" s="10">
        <v>45708</v>
      </c>
      <c r="F22" s="11">
        <v>0</v>
      </c>
      <c r="G22" s="12">
        <f t="shared" si="25"/>
        <v>0</v>
      </c>
      <c r="H22" s="11">
        <v>0</v>
      </c>
      <c r="I22" s="12">
        <f t="shared" si="26"/>
        <v>0</v>
      </c>
      <c r="J22" s="12">
        <f t="shared" si="27"/>
        <v>0</v>
      </c>
      <c r="K22" s="12">
        <f t="shared" si="0"/>
        <v>0</v>
      </c>
      <c r="L22" s="12">
        <f t="shared" si="1"/>
        <v>0</v>
      </c>
      <c r="M22" s="11">
        <v>0</v>
      </c>
      <c r="N22" s="11">
        <v>0</v>
      </c>
      <c r="O22" s="12">
        <f t="shared" si="28"/>
        <v>0</v>
      </c>
      <c r="P22" s="6"/>
      <c r="Q22" s="10">
        <v>45708</v>
      </c>
      <c r="R22" s="12">
        <v>511944.75529002101</v>
      </c>
      <c r="S22" s="12">
        <f t="shared" si="2"/>
        <v>1330.8421660684414</v>
      </c>
      <c r="T22" s="12">
        <v>435779.58249612001</v>
      </c>
      <c r="U22" s="12">
        <f t="shared" si="3"/>
        <v>1132.8445843125958</v>
      </c>
      <c r="V22" s="12">
        <f t="shared" si="29"/>
        <v>2463.6867503810372</v>
      </c>
      <c r="W22" s="12">
        <f t="shared" si="41"/>
        <v>76165.172793901002</v>
      </c>
      <c r="X22" s="12">
        <f t="shared" si="4"/>
        <v>197.99758175584566</v>
      </c>
      <c r="Y22" s="12">
        <v>13.310069741</v>
      </c>
      <c r="Z22" s="12">
        <v>15.733680218</v>
      </c>
      <c r="AA22" s="12">
        <f t="shared" si="30"/>
        <v>-2.4236104770000004</v>
      </c>
      <c r="AB22" s="8"/>
      <c r="AC22" s="10">
        <v>45708</v>
      </c>
      <c r="AD22" s="12">
        <v>27145786.610770062</v>
      </c>
      <c r="AE22" s="12">
        <f t="shared" si="5"/>
        <v>70567.687390884224</v>
      </c>
      <c r="AF22" s="12">
        <v>27132840.440783691</v>
      </c>
      <c r="AG22" s="12">
        <f t="shared" si="6"/>
        <v>70534.032765597178</v>
      </c>
      <c r="AH22" s="12">
        <f t="shared" si="31"/>
        <v>141101.7201564814</v>
      </c>
      <c r="AI22" s="12">
        <f t="shared" si="7"/>
        <v>12946.169986370951</v>
      </c>
      <c r="AJ22" s="12">
        <f t="shared" si="8"/>
        <v>33.65462528704218</v>
      </c>
      <c r="AK22" s="12">
        <v>830.96029929700001</v>
      </c>
      <c r="AL22" s="12">
        <v>835.52238902000011</v>
      </c>
      <c r="AM22" s="12">
        <f t="shared" si="32"/>
        <v>-4.5620897230000992</v>
      </c>
      <c r="AN22" s="8"/>
      <c r="AO22" s="10">
        <v>45708</v>
      </c>
      <c r="AP22" s="12">
        <v>24190315.344655</v>
      </c>
      <c r="AQ22" s="12">
        <f t="shared" si="9"/>
        <v>62884.698668162804</v>
      </c>
      <c r="AR22" s="12">
        <v>24222990.504985519</v>
      </c>
      <c r="AS22" s="12">
        <f t="shared" si="10"/>
        <v>62969.640413735069</v>
      </c>
      <c r="AT22" s="12">
        <f t="shared" si="33"/>
        <v>125854.33908189787</v>
      </c>
      <c r="AU22" s="12">
        <f t="shared" si="11"/>
        <v>-32675.16033051908</v>
      </c>
      <c r="AV22" s="12">
        <f t="shared" si="12"/>
        <v>-84.941745572267322</v>
      </c>
      <c r="AW22" s="12">
        <v>741.67691627900001</v>
      </c>
      <c r="AX22" s="12">
        <v>744.39820280999993</v>
      </c>
      <c r="AY22" s="12">
        <f t="shared" si="34"/>
        <v>-2.7212865309999188</v>
      </c>
      <c r="AZ22" s="8"/>
      <c r="BA22" s="10">
        <v>45708</v>
      </c>
      <c r="BB22" s="12">
        <v>25909533.294059049</v>
      </c>
      <c r="BC22" s="12">
        <f t="shared" si="13"/>
        <v>67353.946015823298</v>
      </c>
      <c r="BD22" s="12">
        <v>25917240.908681508</v>
      </c>
      <c r="BE22" s="12">
        <f t="shared" si="14"/>
        <v>67373.982588975734</v>
      </c>
      <c r="BF22" s="12">
        <f t="shared" si="35"/>
        <v>134727.92860479903</v>
      </c>
      <c r="BG22" s="12">
        <f t="shared" si="15"/>
        <v>-7707.6146224588156</v>
      </c>
      <c r="BH22" s="12">
        <f t="shared" si="16"/>
        <v>-20.036573152434887</v>
      </c>
      <c r="BI22" s="12">
        <v>793.680825325</v>
      </c>
      <c r="BJ22" s="12">
        <v>797.42996992000008</v>
      </c>
      <c r="BK22" s="12">
        <f t="shared" si="36"/>
        <v>-3.7491445950000752</v>
      </c>
      <c r="BL22" s="8"/>
      <c r="BM22" s="10">
        <v>45708</v>
      </c>
      <c r="BN22" s="12">
        <v>24656049.704967111</v>
      </c>
      <c r="BO22" s="12">
        <f t="shared" si="17"/>
        <v>64095.413141717938</v>
      </c>
      <c r="BP22" s="12">
        <v>24650339.970641661</v>
      </c>
      <c r="BQ22" s="12">
        <f t="shared" si="18"/>
        <v>64080.570221424605</v>
      </c>
      <c r="BR22" s="12">
        <f t="shared" si="37"/>
        <v>128175.98336314254</v>
      </c>
      <c r="BS22" s="12">
        <f t="shared" si="19"/>
        <v>5709.7343254499137</v>
      </c>
      <c r="BT22" s="12">
        <f t="shared" si="20"/>
        <v>14.842920293328008</v>
      </c>
      <c r="BU22" s="14">
        <v>754.86703768200005</v>
      </c>
      <c r="BV22" s="14">
        <v>758.83516141000007</v>
      </c>
      <c r="BW22" s="12">
        <f t="shared" si="38"/>
        <v>-3.9681237280000232</v>
      </c>
      <c r="BX22" s="8"/>
      <c r="BY22" s="10">
        <v>45708</v>
      </c>
      <c r="BZ22" s="14">
        <v>26178095.467701931</v>
      </c>
      <c r="CA22" s="12">
        <f t="shared" si="21"/>
        <v>68052.095300881352</v>
      </c>
      <c r="CB22" s="14">
        <v>26172891.28979465</v>
      </c>
      <c r="CC22" s="12">
        <f t="shared" si="22"/>
        <v>68038.566615750446</v>
      </c>
      <c r="CD22" s="12">
        <f t="shared" si="39"/>
        <v>136090.6619166318</v>
      </c>
      <c r="CE22" s="12">
        <f t="shared" si="23"/>
        <v>5204.1779072806239</v>
      </c>
      <c r="CF22" s="12">
        <f t="shared" si="24"/>
        <v>13.528685130893217</v>
      </c>
      <c r="CG22" s="14">
        <v>801.59830136100004</v>
      </c>
      <c r="CH22" s="14">
        <v>805.78994689499996</v>
      </c>
      <c r="CI22" s="12">
        <f t="shared" si="40"/>
        <v>-4.1916455339999175</v>
      </c>
    </row>
    <row r="23" spans="1:87" x14ac:dyDescent="0.25">
      <c r="A23" s="5">
        <v>45709</v>
      </c>
      <c r="B23" s="17">
        <v>84.384</v>
      </c>
      <c r="C23" s="17">
        <v>3.0490000000000001E-5</v>
      </c>
      <c r="E23" s="10">
        <v>45709</v>
      </c>
      <c r="F23" s="11">
        <v>0</v>
      </c>
      <c r="G23" s="12">
        <f t="shared" si="25"/>
        <v>0</v>
      </c>
      <c r="H23" s="11">
        <v>0</v>
      </c>
      <c r="I23" s="12">
        <f t="shared" si="26"/>
        <v>0</v>
      </c>
      <c r="J23" s="12">
        <f t="shared" si="27"/>
        <v>0</v>
      </c>
      <c r="K23" s="12">
        <f t="shared" si="0"/>
        <v>0</v>
      </c>
      <c r="L23" s="12">
        <f t="shared" si="1"/>
        <v>0</v>
      </c>
      <c r="M23" s="11">
        <v>0</v>
      </c>
      <c r="N23" s="11">
        <v>0</v>
      </c>
      <c r="O23" s="12">
        <f t="shared" si="28"/>
        <v>0</v>
      </c>
      <c r="P23" s="6"/>
      <c r="Q23" s="10">
        <v>45709</v>
      </c>
      <c r="R23" s="12">
        <v>1441897.732663329</v>
      </c>
      <c r="S23" s="12">
        <f t="shared" si="2"/>
        <v>3709.8127663456712</v>
      </c>
      <c r="T23" s="12">
        <v>1397349.294460678</v>
      </c>
      <c r="U23" s="12">
        <f t="shared" si="3"/>
        <v>3595.1955081163428</v>
      </c>
      <c r="V23" s="12">
        <f t="shared" si="29"/>
        <v>7305.008274462014</v>
      </c>
      <c r="W23" s="12">
        <f t="shared" si="41"/>
        <v>44548.438202650985</v>
      </c>
      <c r="X23" s="12">
        <f t="shared" si="4"/>
        <v>114.61725822932836</v>
      </c>
      <c r="Y23" s="15">
        <v>41.837587990999992</v>
      </c>
      <c r="Z23" s="12">
        <v>43.391111148</v>
      </c>
      <c r="AA23" s="12">
        <f t="shared" si="30"/>
        <v>-1.5535231570000079</v>
      </c>
      <c r="AB23" s="8"/>
      <c r="AC23" s="10">
        <v>45709</v>
      </c>
      <c r="AD23" s="12">
        <v>18521585.127751999</v>
      </c>
      <c r="AE23" s="12">
        <f t="shared" si="5"/>
        <v>47653.596647922655</v>
      </c>
      <c r="AF23" s="12">
        <v>18535111.103689469</v>
      </c>
      <c r="AG23" s="12">
        <f t="shared" si="6"/>
        <v>47688.397200745094</v>
      </c>
      <c r="AH23" s="12">
        <f t="shared" si="31"/>
        <v>95341.993848667742</v>
      </c>
      <c r="AI23" s="12">
        <f t="shared" si="7"/>
        <v>-13525.975937470794</v>
      </c>
      <c r="AJ23" s="12">
        <f t="shared" si="8"/>
        <v>-34.800552822444757</v>
      </c>
      <c r="AK23" s="15">
        <v>561.38021330800007</v>
      </c>
      <c r="AL23" s="12">
        <v>563.78231929000003</v>
      </c>
      <c r="AM23" s="12">
        <f t="shared" si="32"/>
        <v>-2.4021059819999664</v>
      </c>
      <c r="AN23" s="8"/>
      <c r="AO23" s="10">
        <v>45709</v>
      </c>
      <c r="AP23" s="12">
        <v>18521193.313501932</v>
      </c>
      <c r="AQ23" s="12">
        <f t="shared" si="9"/>
        <v>47652.588561514014</v>
      </c>
      <c r="AR23" s="12">
        <v>18493796.189218938</v>
      </c>
      <c r="AS23" s="12">
        <f t="shared" si="10"/>
        <v>47582.099372770739</v>
      </c>
      <c r="AT23" s="12">
        <f t="shared" si="33"/>
        <v>95234.687934284753</v>
      </c>
      <c r="AU23" s="12">
        <f t="shared" si="11"/>
        <v>27397.124282993376</v>
      </c>
      <c r="AV23" s="12">
        <f t="shared" si="12"/>
        <v>70.4891887432765</v>
      </c>
      <c r="AW23" s="15">
        <v>560.14325136899993</v>
      </c>
      <c r="AX23" s="12">
        <v>563.78231929000003</v>
      </c>
      <c r="AY23" s="12">
        <f t="shared" si="34"/>
        <v>-3.6390679210001053</v>
      </c>
      <c r="AZ23" s="8"/>
      <c r="BA23" s="10">
        <v>45709</v>
      </c>
      <c r="BB23" s="12">
        <v>18521348.48404593</v>
      </c>
      <c r="BC23" s="12">
        <f t="shared" si="13"/>
        <v>47652.987794866043</v>
      </c>
      <c r="BD23" s="12">
        <v>18504243.503553241</v>
      </c>
      <c r="BE23" s="12">
        <f t="shared" si="14"/>
        <v>47608.978935178988</v>
      </c>
      <c r="BF23" s="12">
        <f t="shared" si="35"/>
        <v>95261.966730045038</v>
      </c>
      <c r="BG23" s="12">
        <f t="shared" si="15"/>
        <v>17104.980492688715</v>
      </c>
      <c r="BH23" s="12">
        <f t="shared" si="16"/>
        <v>44.00885968705991</v>
      </c>
      <c r="BI23" s="15">
        <v>560.44999355499999</v>
      </c>
      <c r="BJ23" s="12">
        <v>563.78231929000003</v>
      </c>
      <c r="BK23" s="12">
        <f t="shared" si="36"/>
        <v>-3.3323257350000404</v>
      </c>
      <c r="BL23" s="8"/>
      <c r="BM23" s="10">
        <v>45709</v>
      </c>
      <c r="BN23" s="12">
        <v>18521517.88536825</v>
      </c>
      <c r="BO23" s="12">
        <f t="shared" si="17"/>
        <v>47653.423642134505</v>
      </c>
      <c r="BP23" s="14">
        <v>18540083.46227961</v>
      </c>
      <c r="BQ23" s="12">
        <f t="shared" si="18"/>
        <v>47701.19042384177</v>
      </c>
      <c r="BR23" s="12">
        <f t="shared" si="37"/>
        <v>95354.614065976275</v>
      </c>
      <c r="BS23" s="12">
        <f t="shared" si="19"/>
        <v>-18565.576911360025</v>
      </c>
      <c r="BT23" s="12">
        <f t="shared" si="20"/>
        <v>-47.766781707269352</v>
      </c>
      <c r="BU23" s="14">
        <v>561.51686300699998</v>
      </c>
      <c r="BV23" s="14">
        <v>563.78231929000003</v>
      </c>
      <c r="BW23" s="12">
        <f t="shared" si="38"/>
        <v>-2.2654562830000486</v>
      </c>
      <c r="BX23" s="8"/>
      <c r="BY23" s="10">
        <v>45709</v>
      </c>
      <c r="BZ23" s="14">
        <v>18521219.398530189</v>
      </c>
      <c r="CA23" s="12">
        <f t="shared" si="21"/>
        <v>47652.655674852671</v>
      </c>
      <c r="CB23" s="14">
        <v>18534656.61154199</v>
      </c>
      <c r="CC23" s="12">
        <f t="shared" si="22"/>
        <v>47687.227852369877</v>
      </c>
      <c r="CD23" s="12">
        <f t="shared" si="39"/>
        <v>95339.883527222555</v>
      </c>
      <c r="CE23" s="12">
        <f t="shared" si="23"/>
        <v>-13437.213011801243</v>
      </c>
      <c r="CF23" s="12">
        <f t="shared" si="24"/>
        <v>-34.572177517201126</v>
      </c>
      <c r="CG23" s="14">
        <v>561.36757426000008</v>
      </c>
      <c r="CH23" s="14">
        <v>563.78231929000003</v>
      </c>
      <c r="CI23" s="12">
        <f t="shared" si="40"/>
        <v>-2.4147450299999491</v>
      </c>
    </row>
    <row r="24" spans="1:87" x14ac:dyDescent="0.25">
      <c r="A24" s="5">
        <v>45710</v>
      </c>
      <c r="B24" s="17">
        <v>82.754000000000005</v>
      </c>
      <c r="C24" s="17">
        <v>3.0429999999999998E-5</v>
      </c>
      <c r="E24" s="10">
        <v>45710</v>
      </c>
      <c r="F24" s="11">
        <v>0</v>
      </c>
      <c r="G24" s="12">
        <f t="shared" si="25"/>
        <v>0</v>
      </c>
      <c r="H24" s="11">
        <v>0</v>
      </c>
      <c r="I24" s="12">
        <f t="shared" si="26"/>
        <v>0</v>
      </c>
      <c r="J24" s="12">
        <f t="shared" si="27"/>
        <v>0</v>
      </c>
      <c r="K24" s="12">
        <f t="shared" si="0"/>
        <v>0</v>
      </c>
      <c r="L24" s="12">
        <f t="shared" si="1"/>
        <v>0</v>
      </c>
      <c r="M24" s="11">
        <v>0</v>
      </c>
      <c r="N24" s="11">
        <v>0</v>
      </c>
      <c r="O24" s="12">
        <f t="shared" si="28"/>
        <v>0</v>
      </c>
      <c r="P24" s="6"/>
      <c r="Q24" s="10">
        <v>45710</v>
      </c>
      <c r="R24" s="12">
        <v>3883963.9621310378</v>
      </c>
      <c r="S24" s="12">
        <f t="shared" si="2"/>
        <v>9780.6144397662993</v>
      </c>
      <c r="T24" s="12">
        <v>3980619.5509055019</v>
      </c>
      <c r="U24" s="12">
        <f t="shared" si="3"/>
        <v>10024.01295130474</v>
      </c>
      <c r="V24" s="12">
        <f t="shared" si="29"/>
        <v>19804.627391071037</v>
      </c>
      <c r="W24" s="12">
        <f t="shared" si="41"/>
        <v>-96655.588774464093</v>
      </c>
      <c r="X24" s="12">
        <f t="shared" si="4"/>
        <v>-243.39851153844009</v>
      </c>
      <c r="Y24" s="12">
        <v>120.435560456</v>
      </c>
      <c r="Z24" s="12">
        <v>118.116537787</v>
      </c>
      <c r="AA24" s="12">
        <f t="shared" si="30"/>
        <v>2.319022669000006</v>
      </c>
      <c r="AB24" s="8"/>
      <c r="AC24" s="10">
        <v>45710</v>
      </c>
      <c r="AD24" s="12">
        <v>18506148.411806092</v>
      </c>
      <c r="AE24" s="12">
        <f t="shared" si="5"/>
        <v>46602.2610265564</v>
      </c>
      <c r="AF24" s="12">
        <v>18505230.55198212</v>
      </c>
      <c r="AG24" s="12">
        <f t="shared" si="6"/>
        <v>46599.949668074303</v>
      </c>
      <c r="AH24" s="12">
        <f t="shared" si="31"/>
        <v>93202.210694630703</v>
      </c>
      <c r="AI24" s="12">
        <f t="shared" si="7"/>
        <v>917.85982397198677</v>
      </c>
      <c r="AJ24" s="12">
        <f t="shared" si="8"/>
        <v>2.3113584820947142</v>
      </c>
      <c r="AK24" s="12">
        <v>560.25843441899997</v>
      </c>
      <c r="AL24" s="12">
        <v>563.08962578000001</v>
      </c>
      <c r="AM24" s="12">
        <f t="shared" si="32"/>
        <v>-2.8311913610000374</v>
      </c>
      <c r="AN24" s="8"/>
      <c r="AO24" s="10">
        <v>45710</v>
      </c>
      <c r="AP24" s="12">
        <v>18505411.424818799</v>
      </c>
      <c r="AQ24" s="12">
        <f t="shared" si="9"/>
        <v>46600.405142814911</v>
      </c>
      <c r="AR24" s="12">
        <v>18499998.458441</v>
      </c>
      <c r="AS24" s="12">
        <f t="shared" si="10"/>
        <v>46586.774188039628</v>
      </c>
      <c r="AT24" s="12">
        <f t="shared" si="33"/>
        <v>93187.179330854531</v>
      </c>
      <c r="AU24" s="12">
        <f t="shared" si="11"/>
        <v>5412.9663777984679</v>
      </c>
      <c r="AV24" s="12">
        <f t="shared" si="12"/>
        <v>13.630954775290215</v>
      </c>
      <c r="AW24" s="12">
        <v>560.10567286399987</v>
      </c>
      <c r="AX24" s="12">
        <v>563.08962578000001</v>
      </c>
      <c r="AY24" s="12">
        <f t="shared" si="34"/>
        <v>-2.9839529160001348</v>
      </c>
      <c r="AZ24" s="8"/>
      <c r="BA24" s="10">
        <v>45710</v>
      </c>
      <c r="BB24" s="12">
        <v>18504367.052885141</v>
      </c>
      <c r="BC24" s="12">
        <f t="shared" si="13"/>
        <v>46597.775201004326</v>
      </c>
      <c r="BD24" s="12">
        <v>18531073.324359842</v>
      </c>
      <c r="BE24" s="12">
        <f t="shared" si="14"/>
        <v>46665.027046532385</v>
      </c>
      <c r="BF24" s="12">
        <f t="shared" si="35"/>
        <v>93262.802247536718</v>
      </c>
      <c r="BG24" s="12">
        <f t="shared" si="15"/>
        <v>-26706.271474700421</v>
      </c>
      <c r="BH24" s="12">
        <f t="shared" si="16"/>
        <v>-67.251845528056222</v>
      </c>
      <c r="BI24" s="12">
        <v>561.09437588800006</v>
      </c>
      <c r="BJ24" s="12">
        <v>563.08962578000001</v>
      </c>
      <c r="BK24" s="12">
        <f t="shared" si="36"/>
        <v>-1.9952498919999471</v>
      </c>
      <c r="BL24" s="8"/>
      <c r="BM24" s="10">
        <v>45710</v>
      </c>
      <c r="BN24" s="14">
        <v>18466464.930544201</v>
      </c>
      <c r="BO24" s="12">
        <f t="shared" si="17"/>
        <v>46502.329916578412</v>
      </c>
      <c r="BP24" s="14">
        <v>18462486.517757509</v>
      </c>
      <c r="BQ24" s="12">
        <f t="shared" si="18"/>
        <v>46492.311460710065</v>
      </c>
      <c r="BR24" s="12">
        <f t="shared" si="37"/>
        <v>92994.64137728847</v>
      </c>
      <c r="BS24" s="12">
        <f t="shared" si="19"/>
        <v>3978.4127866923809</v>
      </c>
      <c r="BT24" s="12">
        <f t="shared" si="20"/>
        <v>10.018455868350713</v>
      </c>
      <c r="BU24" s="14">
        <v>559.04674067799999</v>
      </c>
      <c r="BV24" s="14">
        <v>561.97289838000006</v>
      </c>
      <c r="BW24" s="12">
        <f t="shared" si="38"/>
        <v>-2.9261577020000686</v>
      </c>
      <c r="BX24" s="8"/>
      <c r="BY24" s="10">
        <v>45710</v>
      </c>
      <c r="BZ24" s="14">
        <v>18502313.72860945</v>
      </c>
      <c r="CA24" s="12">
        <f t="shared" si="21"/>
        <v>46592.604511148253</v>
      </c>
      <c r="CB24" s="14">
        <v>18501912.812736072</v>
      </c>
      <c r="CC24" s="12">
        <f t="shared" si="22"/>
        <v>46591.594923104043</v>
      </c>
      <c r="CD24" s="12">
        <f t="shared" si="39"/>
        <v>93184.199434252296</v>
      </c>
      <c r="CE24" s="12">
        <f t="shared" si="23"/>
        <v>400.91587337851524</v>
      </c>
      <c r="CF24" s="12">
        <f t="shared" si="24"/>
        <v>1.0095880442067626</v>
      </c>
      <c r="CG24" s="14">
        <v>560.27147439100008</v>
      </c>
      <c r="CH24" s="14">
        <v>563.08962578000001</v>
      </c>
      <c r="CI24" s="12">
        <f t="shared" si="40"/>
        <v>-2.8181513889999223</v>
      </c>
    </row>
    <row r="25" spans="1:87" x14ac:dyDescent="0.25">
      <c r="A25" s="5">
        <v>45711</v>
      </c>
      <c r="B25" s="17">
        <v>77.891999999999996</v>
      </c>
      <c r="C25" s="17">
        <v>3.1359999999999998E-5</v>
      </c>
      <c r="E25" s="10">
        <v>45711</v>
      </c>
      <c r="F25" s="11">
        <v>0</v>
      </c>
      <c r="G25" s="12">
        <f t="shared" si="25"/>
        <v>0</v>
      </c>
      <c r="H25" s="11">
        <v>0</v>
      </c>
      <c r="I25" s="12">
        <f t="shared" si="26"/>
        <v>0</v>
      </c>
      <c r="J25" s="12">
        <f t="shared" si="27"/>
        <v>0</v>
      </c>
      <c r="K25" s="12">
        <f t="shared" si="0"/>
        <v>0</v>
      </c>
      <c r="L25" s="12">
        <f t="shared" si="1"/>
        <v>0</v>
      </c>
      <c r="M25" s="11">
        <v>0</v>
      </c>
      <c r="N25" s="11">
        <v>0</v>
      </c>
      <c r="O25" s="12">
        <f t="shared" si="28"/>
        <v>0</v>
      </c>
      <c r="P25" s="6"/>
      <c r="Q25" s="10">
        <v>45711</v>
      </c>
      <c r="R25" s="12">
        <v>3653868.5158618242</v>
      </c>
      <c r="S25" s="12">
        <f t="shared" si="2"/>
        <v>8925.2794850802875</v>
      </c>
      <c r="T25" s="12">
        <v>3612080.218710124</v>
      </c>
      <c r="U25" s="12">
        <f t="shared" si="3"/>
        <v>8823.2034991313139</v>
      </c>
      <c r="V25" s="12">
        <f t="shared" si="29"/>
        <v>17748.482984211601</v>
      </c>
      <c r="W25" s="12">
        <f t="shared" si="41"/>
        <v>41788.297151700128</v>
      </c>
      <c r="X25" s="12">
        <f t="shared" si="4"/>
        <v>102.07598594897348</v>
      </c>
      <c r="Y25" s="12">
        <v>113.889280066</v>
      </c>
      <c r="Z25" s="12">
        <v>115.817850144</v>
      </c>
      <c r="AA25" s="12">
        <f t="shared" si="30"/>
        <v>-1.928570078000007</v>
      </c>
      <c r="AB25" s="8"/>
      <c r="AC25" s="10">
        <v>45711</v>
      </c>
      <c r="AD25" s="12">
        <v>16332596.64955765</v>
      </c>
      <c r="AE25" s="12">
        <f t="shared" si="5"/>
        <v>39895.52146760952</v>
      </c>
      <c r="AF25" s="12">
        <v>16336631.917408209</v>
      </c>
      <c r="AG25" s="12">
        <f t="shared" si="6"/>
        <v>39905.378388625439</v>
      </c>
      <c r="AH25" s="12">
        <f t="shared" si="31"/>
        <v>79800.899856234959</v>
      </c>
      <c r="AI25" s="12">
        <f t="shared" si="7"/>
        <v>-4035.2678505592048</v>
      </c>
      <c r="AJ25" s="12">
        <f t="shared" si="8"/>
        <v>-9.8569210159181573</v>
      </c>
      <c r="AK25" s="12">
        <v>515.73224088000006</v>
      </c>
      <c r="AL25" s="12">
        <v>518.17721961000007</v>
      </c>
      <c r="AM25" s="12">
        <f t="shared" si="32"/>
        <v>-2.4449787300000025</v>
      </c>
      <c r="AN25" s="8"/>
      <c r="AO25" s="10">
        <v>45711</v>
      </c>
      <c r="AP25" s="12">
        <v>16332036.770116471</v>
      </c>
      <c r="AQ25" s="12">
        <f t="shared" si="9"/>
        <v>39894.15385395052</v>
      </c>
      <c r="AR25" s="12">
        <v>16329927.642703179</v>
      </c>
      <c r="AS25" s="12">
        <f t="shared" si="10"/>
        <v>39889.001902928867</v>
      </c>
      <c r="AT25" s="12">
        <f t="shared" si="33"/>
        <v>79783.155756879394</v>
      </c>
      <c r="AU25" s="12">
        <f t="shared" si="11"/>
        <v>2109.1274132914841</v>
      </c>
      <c r="AV25" s="12">
        <f t="shared" si="12"/>
        <v>5.151951021650504</v>
      </c>
      <c r="AW25" s="12">
        <v>515.50493792999998</v>
      </c>
      <c r="AX25" s="12">
        <v>518.17721961000007</v>
      </c>
      <c r="AY25" s="12">
        <f t="shared" si="34"/>
        <v>-2.6722816800000828</v>
      </c>
      <c r="AZ25" s="8"/>
      <c r="BA25" s="10">
        <v>45711</v>
      </c>
      <c r="BB25" s="12">
        <v>16331626.95661553</v>
      </c>
      <c r="BC25" s="12">
        <f t="shared" si="13"/>
        <v>39893.152805331287</v>
      </c>
      <c r="BD25" s="12">
        <v>16330324.417304469</v>
      </c>
      <c r="BE25" s="12">
        <f t="shared" si="14"/>
        <v>39889.971101517629</v>
      </c>
      <c r="BF25" s="12">
        <f t="shared" si="35"/>
        <v>79783.123906848923</v>
      </c>
      <c r="BG25" s="12">
        <f t="shared" si="15"/>
        <v>1302.5393110606819</v>
      </c>
      <c r="BH25" s="12">
        <f t="shared" si="16"/>
        <v>3.1817038136574674</v>
      </c>
      <c r="BI25" s="12">
        <v>515.56743801699997</v>
      </c>
      <c r="BJ25" s="12">
        <v>518.17721961000007</v>
      </c>
      <c r="BK25" s="12">
        <f t="shared" si="36"/>
        <v>-2.6097815930000934</v>
      </c>
      <c r="BL25" s="8"/>
      <c r="BM25" s="10">
        <v>45711</v>
      </c>
      <c r="BN25" s="14">
        <v>16331130.95070765</v>
      </c>
      <c r="BO25" s="12">
        <f t="shared" si="17"/>
        <v>39891.941215112623</v>
      </c>
      <c r="BP25" s="14">
        <v>16333206.27199875</v>
      </c>
      <c r="BQ25" s="12">
        <f t="shared" si="18"/>
        <v>39897.010588152196</v>
      </c>
      <c r="BR25" s="12">
        <f t="shared" si="37"/>
        <v>79788.951803264819</v>
      </c>
      <c r="BS25" s="12">
        <f t="shared" si="19"/>
        <v>-2075.3212911002338</v>
      </c>
      <c r="BT25" s="12">
        <f t="shared" si="20"/>
        <v>-5.0693730395600571</v>
      </c>
      <c r="BU25" s="14">
        <v>515.66478926700006</v>
      </c>
      <c r="BV25" s="14">
        <v>518.17721961000007</v>
      </c>
      <c r="BW25" s="12">
        <f t="shared" si="38"/>
        <v>-2.5124303430000055</v>
      </c>
      <c r="BX25" s="8"/>
      <c r="BY25" s="10">
        <v>45711</v>
      </c>
      <c r="BZ25" s="14">
        <v>16330832.0819887</v>
      </c>
      <c r="CA25" s="12">
        <f t="shared" si="21"/>
        <v>39891.211170549068</v>
      </c>
      <c r="CB25" s="14">
        <v>16329527.94782614</v>
      </c>
      <c r="CC25" s="12">
        <f t="shared" si="22"/>
        <v>39888.025571002625</v>
      </c>
      <c r="CD25" s="12">
        <f t="shared" si="39"/>
        <v>79779.236741551693</v>
      </c>
      <c r="CE25" s="12">
        <f t="shared" si="23"/>
        <v>1304.1341625601053</v>
      </c>
      <c r="CF25" s="12">
        <f t="shared" si="24"/>
        <v>3.1855995464425306</v>
      </c>
      <c r="CG25" s="14">
        <v>515.55506989000003</v>
      </c>
      <c r="CH25" s="14">
        <v>518.17721961000007</v>
      </c>
      <c r="CI25" s="12">
        <f t="shared" si="40"/>
        <v>-2.6221497200000385</v>
      </c>
    </row>
    <row r="26" spans="1:87" x14ac:dyDescent="0.25">
      <c r="A26" s="5">
        <v>45712</v>
      </c>
      <c r="B26" s="17">
        <v>78.984999999999999</v>
      </c>
      <c r="C26" s="17">
        <v>3.1940000000000003E-5</v>
      </c>
      <c r="E26" s="10">
        <v>45712</v>
      </c>
      <c r="F26" s="12">
        <v>0</v>
      </c>
      <c r="G26" s="12">
        <f t="shared" si="25"/>
        <v>0</v>
      </c>
      <c r="H26" s="12">
        <v>0</v>
      </c>
      <c r="I26" s="12">
        <f t="shared" si="26"/>
        <v>0</v>
      </c>
      <c r="J26" s="12">
        <f t="shared" si="27"/>
        <v>0</v>
      </c>
      <c r="K26" s="12">
        <f t="shared" si="0"/>
        <v>0</v>
      </c>
      <c r="L26" s="12">
        <f t="shared" si="1"/>
        <v>0</v>
      </c>
      <c r="M26" s="12">
        <v>0</v>
      </c>
      <c r="N26" s="12">
        <v>0</v>
      </c>
      <c r="O26" s="12">
        <f>M26-N26</f>
        <v>0</v>
      </c>
      <c r="P26" s="6"/>
      <c r="Q26" s="10">
        <v>45712</v>
      </c>
      <c r="R26" s="12">
        <v>1997277.601592303</v>
      </c>
      <c r="S26" s="12">
        <f t="shared" si="2"/>
        <v>5038.6937852948722</v>
      </c>
      <c r="T26" s="12">
        <v>1985448.5272856781</v>
      </c>
      <c r="U26" s="12">
        <f t="shared" si="3"/>
        <v>5008.8516225694375</v>
      </c>
      <c r="V26" s="12">
        <f t="shared" si="29"/>
        <v>10047.545407864309</v>
      </c>
      <c r="W26" s="12">
        <f t="shared" si="41"/>
        <v>11829.074306624942</v>
      </c>
      <c r="X26" s="12">
        <f t="shared" si="4"/>
        <v>29.842162725434147</v>
      </c>
      <c r="Y26" s="12">
        <v>63.430719836000009</v>
      </c>
      <c r="Z26" s="12">
        <v>64.130232238999994</v>
      </c>
      <c r="AA26" s="12">
        <f t="shared" si="30"/>
        <v>-0.69951240299998574</v>
      </c>
      <c r="AB26" s="8"/>
      <c r="AC26" s="10">
        <v>45712</v>
      </c>
      <c r="AD26" s="12">
        <v>16230649.68569788</v>
      </c>
      <c r="AE26" s="12">
        <f t="shared" si="5"/>
        <v>40946.37302166962</v>
      </c>
      <c r="AF26" s="12">
        <v>16199010.526921749</v>
      </c>
      <c r="AG26" s="12">
        <f t="shared" si="6"/>
        <v>40866.554356217122</v>
      </c>
      <c r="AH26" s="12">
        <f t="shared" si="31"/>
        <v>81812.92737788675</v>
      </c>
      <c r="AI26" s="12">
        <f t="shared" si="7"/>
        <v>31639.158776130527</v>
      </c>
      <c r="AJ26" s="12">
        <f t="shared" si="8"/>
        <v>79.818665452489483</v>
      </c>
      <c r="AK26" s="12">
        <v>516.97670785199989</v>
      </c>
      <c r="AL26" s="12">
        <v>520.56464303999996</v>
      </c>
      <c r="AM26" s="12">
        <f t="shared" si="32"/>
        <v>-3.587935188000074</v>
      </c>
      <c r="AN26" s="8"/>
      <c r="AO26" s="10">
        <v>45712</v>
      </c>
      <c r="AP26" s="12">
        <v>16230278.32417587</v>
      </c>
      <c r="AQ26" s="12">
        <f t="shared" si="9"/>
        <v>40945.436157914897</v>
      </c>
      <c r="AR26" s="12">
        <v>16240353.14428734</v>
      </c>
      <c r="AS26" s="12">
        <f t="shared" si="10"/>
        <v>40970.852721663046</v>
      </c>
      <c r="AT26" s="12">
        <f t="shared" si="33"/>
        <v>81916.288879577944</v>
      </c>
      <c r="AU26" s="12">
        <f t="shared" si="11"/>
        <v>-10074.820111470297</v>
      </c>
      <c r="AV26" s="12">
        <f t="shared" si="12"/>
        <v>-25.416563748153141</v>
      </c>
      <c r="AW26" s="12">
        <v>518.27775395100002</v>
      </c>
      <c r="AX26" s="12">
        <v>520.56464303999996</v>
      </c>
      <c r="AY26" s="12">
        <f t="shared" si="34"/>
        <v>-2.286889088999942</v>
      </c>
      <c r="AZ26" s="8"/>
      <c r="BA26" s="10">
        <v>45712</v>
      </c>
      <c r="BB26" s="12">
        <v>16230185.39846706</v>
      </c>
      <c r="BC26" s="12">
        <f t="shared" si="13"/>
        <v>40945.201726711595</v>
      </c>
      <c r="BD26" s="12">
        <v>16198547.90680163</v>
      </c>
      <c r="BE26" s="12">
        <f t="shared" si="14"/>
        <v>40865.387267014135</v>
      </c>
      <c r="BF26" s="12">
        <f t="shared" si="35"/>
        <v>81810.588993725731</v>
      </c>
      <c r="BG26" s="12">
        <f t="shared" si="15"/>
        <v>31637.491665430367</v>
      </c>
      <c r="BH26" s="12">
        <f t="shared" si="16"/>
        <v>79.814459697456925</v>
      </c>
      <c r="BI26" s="12">
        <v>516.96768172299994</v>
      </c>
      <c r="BJ26" s="12">
        <v>520.56464303999996</v>
      </c>
      <c r="BK26" s="12">
        <f t="shared" si="36"/>
        <v>-3.596961317000023</v>
      </c>
      <c r="BL26" s="8"/>
      <c r="BM26" s="10">
        <v>45712</v>
      </c>
      <c r="BN26" s="14">
        <v>16230538.6059059</v>
      </c>
      <c r="BO26" s="12">
        <f t="shared" si="17"/>
        <v>40946.092791692034</v>
      </c>
      <c r="BP26" s="14">
        <v>16204355.226666261</v>
      </c>
      <c r="BQ26" s="12">
        <f t="shared" si="18"/>
        <v>40880.037862648816</v>
      </c>
      <c r="BR26" s="12">
        <f t="shared" si="37"/>
        <v>81826.130654340843</v>
      </c>
      <c r="BS26" s="12">
        <f t="shared" si="19"/>
        <v>26183.379239639267</v>
      </c>
      <c r="BT26" s="12">
        <f t="shared" si="20"/>
        <v>66.054929043218479</v>
      </c>
      <c r="BU26" s="14">
        <v>517.13115743000003</v>
      </c>
      <c r="BV26" s="14">
        <v>520.56464303999996</v>
      </c>
      <c r="BW26" s="12">
        <f t="shared" si="38"/>
        <v>-3.4334856099999342</v>
      </c>
      <c r="BX26" s="8"/>
      <c r="BY26" s="10">
        <v>45712</v>
      </c>
      <c r="BZ26" s="14">
        <v>16230456.55581091</v>
      </c>
      <c r="CA26" s="12">
        <f t="shared" si="21"/>
        <v>40945.885797279552</v>
      </c>
      <c r="CB26" s="14">
        <v>16202338.372248231</v>
      </c>
      <c r="CC26" s="12">
        <f t="shared" si="22"/>
        <v>40874.949780844931</v>
      </c>
      <c r="CD26" s="12">
        <f t="shared" si="39"/>
        <v>81820.835578124475</v>
      </c>
      <c r="CE26" s="12">
        <f t="shared" si="23"/>
        <v>28118.183562679216</v>
      </c>
      <c r="CF26" s="12">
        <f t="shared" si="24"/>
        <v>70.936016434621081</v>
      </c>
      <c r="CG26" s="14">
        <v>517.067884134</v>
      </c>
      <c r="CH26" s="14">
        <v>520.56464303999996</v>
      </c>
      <c r="CI26" s="12">
        <f t="shared" si="40"/>
        <v>-3.4967589059999682</v>
      </c>
    </row>
    <row r="27" spans="1:87" x14ac:dyDescent="0.25">
      <c r="A27" s="5">
        <v>45713</v>
      </c>
      <c r="B27" s="17">
        <v>87.963999999999999</v>
      </c>
      <c r="C27" s="17">
        <v>3.0880000000000002E-5</v>
      </c>
      <c r="E27" s="10">
        <v>45713</v>
      </c>
      <c r="F27" s="12">
        <v>0</v>
      </c>
      <c r="G27" s="12">
        <f>F27*C27*B27</f>
        <v>0</v>
      </c>
      <c r="H27" s="12">
        <v>0</v>
      </c>
      <c r="I27" s="12">
        <f t="shared" si="26"/>
        <v>0</v>
      </c>
      <c r="J27" s="12">
        <f t="shared" si="27"/>
        <v>0</v>
      </c>
      <c r="K27" s="12">
        <f t="shared" si="0"/>
        <v>0</v>
      </c>
      <c r="L27" s="12">
        <f t="shared" si="1"/>
        <v>0</v>
      </c>
      <c r="M27" s="12">
        <v>0</v>
      </c>
      <c r="N27" s="12">
        <v>0</v>
      </c>
      <c r="O27" s="12">
        <f t="shared" si="28"/>
        <v>0</v>
      </c>
      <c r="P27" s="6"/>
      <c r="Q27" s="10">
        <v>45713</v>
      </c>
      <c r="R27" s="12">
        <v>508922.92582621</v>
      </c>
      <c r="S27" s="12">
        <f t="shared" si="2"/>
        <v>1382.4017561189937</v>
      </c>
      <c r="T27" s="12">
        <v>512516.49350282701</v>
      </c>
      <c r="U27" s="12">
        <f t="shared" si="3"/>
        <v>1392.1630657688249</v>
      </c>
      <c r="V27" s="12">
        <f t="shared" si="29"/>
        <v>2774.5648218878187</v>
      </c>
      <c r="W27" s="12">
        <f t="shared" si="41"/>
        <v>-3593.5676766170072</v>
      </c>
      <c r="X27" s="12">
        <f t="shared" si="4"/>
        <v>-9.7613096498313787</v>
      </c>
      <c r="Y27" s="12">
        <v>15.611222554999999</v>
      </c>
      <c r="Z27" s="12">
        <v>15.584799370000001</v>
      </c>
      <c r="AA27" s="12">
        <f t="shared" si="30"/>
        <v>2.6423184999998739E-2</v>
      </c>
      <c r="AB27" s="8"/>
      <c r="AC27" s="10">
        <v>45713</v>
      </c>
      <c r="AD27" s="12">
        <v>15560610.273309819</v>
      </c>
      <c r="AE27" s="12">
        <f t="shared" si="5"/>
        <v>42267.726361874404</v>
      </c>
      <c r="AF27" s="12">
        <v>15571637.918843361</v>
      </c>
      <c r="AG27" s="12">
        <f t="shared" si="6"/>
        <v>42297.681067740086</v>
      </c>
      <c r="AH27" s="12">
        <f t="shared" si="31"/>
        <v>84565.407429614483</v>
      </c>
      <c r="AI27" s="12">
        <f t="shared" si="7"/>
        <v>-11027.645533541217</v>
      </c>
      <c r="AJ27" s="12">
        <f t="shared" si="8"/>
        <v>-29.954705865679522</v>
      </c>
      <c r="AK27" s="12">
        <v>475.20361695700001</v>
      </c>
      <c r="AL27" s="12">
        <v>477.22896055000001</v>
      </c>
      <c r="AM27" s="12">
        <f t="shared" si="32"/>
        <v>-2.0253435930000023</v>
      </c>
      <c r="AN27" s="8"/>
      <c r="AO27" s="10">
        <v>45713</v>
      </c>
      <c r="AP27" s="12">
        <v>15561691.036791051</v>
      </c>
      <c r="AQ27" s="12">
        <f t="shared" si="9"/>
        <v>42270.662070325692</v>
      </c>
      <c r="AR27" s="12">
        <v>15573957.58176735</v>
      </c>
      <c r="AS27" s="12">
        <f t="shared" si="10"/>
        <v>42303.982033833374</v>
      </c>
      <c r="AT27" s="12">
        <f t="shared" si="33"/>
        <v>84574.644104159059</v>
      </c>
      <c r="AU27" s="12">
        <f t="shared" si="11"/>
        <v>-12266.544976299629</v>
      </c>
      <c r="AV27" s="12">
        <f t="shared" si="12"/>
        <v>-33.319963507676412</v>
      </c>
      <c r="AW27" s="12">
        <v>475.23390626299999</v>
      </c>
      <c r="AX27" s="12">
        <v>477.22896055000001</v>
      </c>
      <c r="AY27" s="12">
        <f t="shared" si="34"/>
        <v>-1.9950542870000163</v>
      </c>
      <c r="AZ27" s="8"/>
      <c r="BA27" s="10">
        <v>45713</v>
      </c>
      <c r="BB27" s="12">
        <v>15561266.746626651</v>
      </c>
      <c r="BC27" s="12">
        <f t="shared" si="13"/>
        <v>42269.509558936239</v>
      </c>
      <c r="BD27" s="12">
        <v>15577318.30583884</v>
      </c>
      <c r="BE27" s="12">
        <f t="shared" si="14"/>
        <v>42313.110863804468</v>
      </c>
      <c r="BF27" s="12">
        <f t="shared" si="35"/>
        <v>84582.6204227407</v>
      </c>
      <c r="BG27" s="12">
        <f t="shared" si="15"/>
        <v>-16051.559212189168</v>
      </c>
      <c r="BH27" s="12">
        <f t="shared" si="16"/>
        <v>-43.601304868226329</v>
      </c>
      <c r="BI27" s="16">
        <v>475.36027227099999</v>
      </c>
      <c r="BJ27" s="16">
        <v>477.22896055000001</v>
      </c>
      <c r="BK27" s="12">
        <f t="shared" si="36"/>
        <v>-1.8686882790000254</v>
      </c>
      <c r="BL27" s="8"/>
      <c r="BM27" s="10">
        <v>45713</v>
      </c>
      <c r="BN27" s="14">
        <v>15560873.150972679</v>
      </c>
      <c r="BO27" s="12">
        <f t="shared" si="17"/>
        <v>42268.440423914726</v>
      </c>
      <c r="BP27" s="14">
        <v>15577057.525757819</v>
      </c>
      <c r="BQ27" s="12">
        <f t="shared" si="18"/>
        <v>42312.402499485092</v>
      </c>
      <c r="BR27" s="12">
        <f t="shared" si="37"/>
        <v>84580.842923399818</v>
      </c>
      <c r="BS27" s="12">
        <f t="shared" si="19"/>
        <v>-16184.374785140157</v>
      </c>
      <c r="BT27" s="12">
        <f t="shared" si="20"/>
        <v>-43.962075570370125</v>
      </c>
      <c r="BU27" s="14">
        <v>475.35193115599998</v>
      </c>
      <c r="BV27" s="14">
        <v>477.22896055000001</v>
      </c>
      <c r="BW27" s="12">
        <f t="shared" si="38"/>
        <v>-1.8770293940000329</v>
      </c>
      <c r="BX27" s="8"/>
      <c r="BY27" s="10">
        <v>45713</v>
      </c>
      <c r="BZ27" s="14">
        <v>15531094.47796811</v>
      </c>
      <c r="CA27" s="12">
        <f t="shared" si="21"/>
        <v>42187.551771100392</v>
      </c>
      <c r="CB27" s="14">
        <v>15548828.057586869</v>
      </c>
      <c r="CC27" s="12">
        <f t="shared" si="22"/>
        <v>42235.721995633809</v>
      </c>
      <c r="CD27" s="12">
        <f t="shared" si="39"/>
        <v>84423.273766734201</v>
      </c>
      <c r="CE27" s="12">
        <f t="shared" si="23"/>
        <v>-17733.579618759453</v>
      </c>
      <c r="CF27" s="12">
        <f t="shared" si="24"/>
        <v>-48.170224533411108</v>
      </c>
      <c r="CG27" s="14">
        <v>474.51161336199999</v>
      </c>
      <c r="CH27" s="14">
        <v>476.33159655999998</v>
      </c>
      <c r="CI27" s="12">
        <f t="shared" si="40"/>
        <v>-1.8199831979999885</v>
      </c>
    </row>
    <row r="28" spans="1:87" x14ac:dyDescent="0.25">
      <c r="A28" s="5">
        <v>45714</v>
      </c>
      <c r="B28" s="17">
        <v>85.881</v>
      </c>
      <c r="C28" s="17">
        <v>2.993E-5</v>
      </c>
      <c r="E28" s="10">
        <v>45714</v>
      </c>
      <c r="F28" s="12">
        <v>0</v>
      </c>
      <c r="G28" s="12">
        <f>F28*C28*B28</f>
        <v>0</v>
      </c>
      <c r="H28" s="12">
        <v>0</v>
      </c>
      <c r="I28" s="12">
        <f t="shared" si="26"/>
        <v>0</v>
      </c>
      <c r="J28" s="12">
        <f t="shared" si="27"/>
        <v>0</v>
      </c>
      <c r="K28" s="12">
        <f t="shared" si="0"/>
        <v>0</v>
      </c>
      <c r="L28" s="12">
        <f t="shared" si="1"/>
        <v>0</v>
      </c>
      <c r="M28" s="12">
        <v>0</v>
      </c>
      <c r="N28" s="12">
        <v>0</v>
      </c>
      <c r="O28" s="12">
        <f t="shared" si="28"/>
        <v>0</v>
      </c>
      <c r="P28" s="6"/>
      <c r="Q28" s="10">
        <v>45714</v>
      </c>
      <c r="R28" s="12">
        <v>181412.420186912</v>
      </c>
      <c r="S28" s="12">
        <f t="shared" si="2"/>
        <v>466.30581013810064</v>
      </c>
      <c r="T28" s="12">
        <v>254473.22018151</v>
      </c>
      <c r="U28" s="12">
        <f t="shared" si="3"/>
        <v>654.10262964867923</v>
      </c>
      <c r="V28" s="12">
        <f>S28+U28</f>
        <v>1120.4084397867798</v>
      </c>
      <c r="W28" s="12">
        <f>R28-T28</f>
        <v>-73060.799994597997</v>
      </c>
      <c r="X28" s="12">
        <f t="shared" si="4"/>
        <v>-187.79681951057859</v>
      </c>
      <c r="Y28" s="12">
        <v>7.6669595850000007</v>
      </c>
      <c r="Z28" s="12">
        <v>5.494441382999999</v>
      </c>
      <c r="AA28" s="12">
        <f t="shared" si="30"/>
        <v>2.1725182020000018</v>
      </c>
      <c r="AB28" s="8"/>
      <c r="AC28" s="10">
        <v>45714</v>
      </c>
      <c r="AD28" s="12">
        <v>14916084.06760839</v>
      </c>
      <c r="AE28" s="12">
        <f t="shared" si="5"/>
        <v>38340.575899201562</v>
      </c>
      <c r="AF28" s="12">
        <v>14935353.958109559</v>
      </c>
      <c r="AG28" s="12">
        <f t="shared" si="6"/>
        <v>38390.107578962859</v>
      </c>
      <c r="AH28" s="12">
        <f>AE28+AG28</f>
        <v>76730.683478164428</v>
      </c>
      <c r="AI28" s="12">
        <f t="shared" si="7"/>
        <v>-19269.890501169488</v>
      </c>
      <c r="AJ28" s="12">
        <f t="shared" si="8"/>
        <v>-49.531679761298939</v>
      </c>
      <c r="AK28" s="12">
        <v>448.13333438000001</v>
      </c>
      <c r="AL28" s="12">
        <v>449.79977267999999</v>
      </c>
      <c r="AM28" s="12">
        <f t="shared" si="32"/>
        <v>-1.6664382999999816</v>
      </c>
      <c r="AN28" s="8"/>
      <c r="AO28" s="10">
        <v>45714</v>
      </c>
      <c r="AP28" s="12">
        <v>14915762.500473101</v>
      </c>
      <c r="AQ28" s="12">
        <f t="shared" si="9"/>
        <v>38339.74933714269</v>
      </c>
      <c r="AR28" s="12">
        <v>14930124.027249049</v>
      </c>
      <c r="AS28" s="12">
        <f t="shared" si="10"/>
        <v>38376.664468814372</v>
      </c>
      <c r="AT28" s="12">
        <f>AQ28+AS28</f>
        <v>76716.413805957069</v>
      </c>
      <c r="AU28" s="12">
        <f t="shared" si="11"/>
        <v>-14361.526775948703</v>
      </c>
      <c r="AV28" s="12">
        <f t="shared" si="12"/>
        <v>-36.91513167168435</v>
      </c>
      <c r="AW28" s="12">
        <v>447.991882422</v>
      </c>
      <c r="AX28" s="12">
        <v>449.79977267999999</v>
      </c>
      <c r="AY28" s="12">
        <f t="shared" si="34"/>
        <v>-1.8078902579999863</v>
      </c>
      <c r="AZ28" s="8"/>
      <c r="BA28" s="10">
        <v>45714</v>
      </c>
      <c r="BB28" s="12">
        <v>14885259.086310631</v>
      </c>
      <c r="BC28" s="12">
        <f t="shared" si="13"/>
        <v>38261.3428022519</v>
      </c>
      <c r="BD28" s="12">
        <v>14904673.66688663</v>
      </c>
      <c r="BE28" s="12">
        <f t="shared" si="14"/>
        <v>38311.246396033705</v>
      </c>
      <c r="BF28" s="12">
        <f>BC28+BE28</f>
        <v>76572.589198285597</v>
      </c>
      <c r="BG28" s="12">
        <f t="shared" si="15"/>
        <v>-19414.580575998873</v>
      </c>
      <c r="BH28" s="12">
        <f t="shared" si="16"/>
        <v>-49.903593781809462</v>
      </c>
      <c r="BI28" s="12">
        <v>447.23529104099998</v>
      </c>
      <c r="BJ28" s="12">
        <v>448.89335980999999</v>
      </c>
      <c r="BK28" s="12">
        <f t="shared" si="36"/>
        <v>-1.6580687690000104</v>
      </c>
      <c r="BL28" s="8"/>
      <c r="BM28" s="10">
        <v>45714</v>
      </c>
      <c r="BN28" s="14">
        <v>14914658.73499026</v>
      </c>
      <c r="BO28" s="12">
        <f t="shared" si="17"/>
        <v>38336.912198113576</v>
      </c>
      <c r="BP28" s="14">
        <v>14897642.81382828</v>
      </c>
      <c r="BQ28" s="12">
        <f t="shared" si="18"/>
        <v>38293.174162456984</v>
      </c>
      <c r="BR28" s="12">
        <f>BO28+BQ28</f>
        <v>76630.086360570567</v>
      </c>
      <c r="BS28" s="12">
        <f t="shared" si="19"/>
        <v>17015.921161979437</v>
      </c>
      <c r="BT28" s="12">
        <f t="shared" si="20"/>
        <v>43.738035656586845</v>
      </c>
      <c r="BU28" s="14">
        <v>447.03528148100003</v>
      </c>
      <c r="BV28" s="14">
        <v>449.79977267999999</v>
      </c>
      <c r="BW28" s="12">
        <f t="shared" si="38"/>
        <v>-2.7644911989999628</v>
      </c>
      <c r="BX28" s="8"/>
      <c r="BY28" s="10">
        <v>45714</v>
      </c>
      <c r="BZ28" s="14">
        <v>14914591.82652108</v>
      </c>
      <c r="CA28" s="12">
        <f t="shared" si="21"/>
        <v>38336.740215357968</v>
      </c>
      <c r="CB28" s="14">
        <v>14900013.527614759</v>
      </c>
      <c r="CC28" s="12">
        <f t="shared" si="22"/>
        <v>38299.267888628936</v>
      </c>
      <c r="CD28" s="12">
        <f>CA28+CC28</f>
        <v>76636.008103986911</v>
      </c>
      <c r="CE28" s="12">
        <f t="shared" si="23"/>
        <v>14578.298906320706</v>
      </c>
      <c r="CF28" s="12">
        <f t="shared" si="24"/>
        <v>37.472326729025696</v>
      </c>
      <c r="CG28" s="14">
        <v>447.12142113499999</v>
      </c>
      <c r="CH28" s="14">
        <v>449.79977267999999</v>
      </c>
      <c r="CI28" s="12">
        <f t="shared" si="40"/>
        <v>-2.6783515449999982</v>
      </c>
    </row>
    <row r="29" spans="1:87" x14ac:dyDescent="0.25">
      <c r="A29" s="5">
        <v>45715</v>
      </c>
      <c r="B29" s="17">
        <v>81.870999999999995</v>
      </c>
      <c r="C29" s="17">
        <v>3.0559999999999999E-5</v>
      </c>
      <c r="E29" s="10">
        <v>45715</v>
      </c>
      <c r="F29" s="12">
        <v>0</v>
      </c>
      <c r="G29" s="12">
        <f t="shared" si="25"/>
        <v>0</v>
      </c>
      <c r="H29" s="12">
        <v>0</v>
      </c>
      <c r="I29" s="12">
        <f t="shared" si="26"/>
        <v>0</v>
      </c>
      <c r="J29" s="12">
        <f t="shared" si="27"/>
        <v>0</v>
      </c>
      <c r="K29" s="12">
        <f t="shared" si="0"/>
        <v>0</v>
      </c>
      <c r="L29" s="12">
        <f t="shared" si="1"/>
        <v>0</v>
      </c>
      <c r="M29" s="12">
        <v>0</v>
      </c>
      <c r="N29" s="12">
        <v>0</v>
      </c>
      <c r="O29" s="12">
        <f t="shared" si="28"/>
        <v>0</v>
      </c>
      <c r="P29" s="6"/>
      <c r="Q29" s="10">
        <v>45715</v>
      </c>
      <c r="R29" s="12">
        <v>0</v>
      </c>
      <c r="S29" s="12">
        <f t="shared" si="2"/>
        <v>0</v>
      </c>
      <c r="T29" s="12">
        <v>0</v>
      </c>
      <c r="U29" s="12">
        <f t="shared" si="3"/>
        <v>0</v>
      </c>
      <c r="V29" s="12">
        <f>S29+U29</f>
        <v>0</v>
      </c>
      <c r="W29" s="12">
        <f>R29-T29</f>
        <v>0</v>
      </c>
      <c r="X29" s="12">
        <f t="shared" si="4"/>
        <v>0</v>
      </c>
      <c r="Y29" s="12">
        <v>0</v>
      </c>
      <c r="Z29" s="12">
        <v>0</v>
      </c>
      <c r="AA29" s="12">
        <f t="shared" si="30"/>
        <v>0</v>
      </c>
      <c r="AB29" s="8"/>
      <c r="AC29" s="10">
        <v>45715</v>
      </c>
      <c r="AD29" s="12">
        <v>15479511.722337849</v>
      </c>
      <c r="AE29" s="12">
        <f t="shared" si="5"/>
        <v>38729.394064948588</v>
      </c>
      <c r="AF29" s="12">
        <v>15454270.99491005</v>
      </c>
      <c r="AG29" s="12">
        <f t="shared" si="6"/>
        <v>38666.242326278014</v>
      </c>
      <c r="AH29" s="12">
        <f>AE29+AG29</f>
        <v>77395.63639122661</v>
      </c>
      <c r="AI29" s="12">
        <f t="shared" si="7"/>
        <v>25240.727427799255</v>
      </c>
      <c r="AJ29" s="12">
        <f t="shared" si="8"/>
        <v>63.151738670575739</v>
      </c>
      <c r="AK29" s="12">
        <v>471.77546471900001</v>
      </c>
      <c r="AL29" s="12">
        <v>474.92338225999998</v>
      </c>
      <c r="AM29" s="12">
        <f t="shared" si="32"/>
        <v>-3.1479175409999698</v>
      </c>
      <c r="AN29" s="8"/>
      <c r="AO29" s="10">
        <v>45715</v>
      </c>
      <c r="AP29" s="12">
        <v>15478800.189624891</v>
      </c>
      <c r="AQ29" s="12">
        <f t="shared" si="9"/>
        <v>38727.613825925255</v>
      </c>
      <c r="AR29" s="12">
        <v>15453369.499108041</v>
      </c>
      <c r="AS29" s="12">
        <f t="shared" si="10"/>
        <v>38663.986803830652</v>
      </c>
      <c r="AT29" s="12">
        <f>AQ29+AS29</f>
        <v>77391.600629755907</v>
      </c>
      <c r="AU29" s="12">
        <f t="shared" si="11"/>
        <v>25430.69051684998</v>
      </c>
      <c r="AV29" s="12">
        <f t="shared" si="12"/>
        <v>63.62702209460155</v>
      </c>
      <c r="AW29" s="12">
        <v>471.783194181</v>
      </c>
      <c r="AX29" s="12">
        <v>474.92338225999998</v>
      </c>
      <c r="AY29" s="12">
        <f t="shared" si="34"/>
        <v>-3.1401880789999836</v>
      </c>
      <c r="AZ29" s="8"/>
      <c r="BA29" s="10">
        <v>45715</v>
      </c>
      <c r="BB29" s="12">
        <v>15478095.869276719</v>
      </c>
      <c r="BC29" s="12">
        <f t="shared" si="13"/>
        <v>38725.851632078215</v>
      </c>
      <c r="BD29" s="12">
        <v>15452661.473628109</v>
      </c>
      <c r="BE29" s="12">
        <f t="shared" si="14"/>
        <v>38662.215339826354</v>
      </c>
      <c r="BF29" s="12">
        <f>BC29+BE29</f>
        <v>77388.066971904569</v>
      </c>
      <c r="BG29" s="12">
        <f t="shared" si="15"/>
        <v>25434.395648609847</v>
      </c>
      <c r="BH29" s="12">
        <f t="shared" si="16"/>
        <v>63.636292251862606</v>
      </c>
      <c r="BI29" s="12">
        <v>471.77371618400002</v>
      </c>
      <c r="BJ29" s="12">
        <v>474.92338225999998</v>
      </c>
      <c r="BK29" s="12">
        <f t="shared" si="36"/>
        <v>-3.14966607599996</v>
      </c>
      <c r="BL29" s="8"/>
      <c r="BM29" s="10">
        <v>45715</v>
      </c>
      <c r="BN29" s="14">
        <v>15446079.098649669</v>
      </c>
      <c r="BO29" s="12">
        <f t="shared" si="17"/>
        <v>38645.746384022314</v>
      </c>
      <c r="BP29" s="14">
        <v>15456967.220557131</v>
      </c>
      <c r="BQ29" s="12">
        <f t="shared" si="18"/>
        <v>38672.988222882952</v>
      </c>
      <c r="BR29" s="12">
        <f>BO29+BQ29</f>
        <v>77318.734606905258</v>
      </c>
      <c r="BS29" s="12">
        <f t="shared" si="19"/>
        <v>-10888.121907461435</v>
      </c>
      <c r="BT29" s="12">
        <f t="shared" si="20"/>
        <v>-27.241838860637284</v>
      </c>
      <c r="BU29" s="14">
        <v>471.88597323400012</v>
      </c>
      <c r="BV29" s="14">
        <v>473.94514797499988</v>
      </c>
      <c r="BW29" s="12">
        <f t="shared" si="38"/>
        <v>-2.0591747409997652</v>
      </c>
      <c r="BX29" s="8"/>
      <c r="BY29" s="10">
        <v>45715</v>
      </c>
      <c r="BZ29" s="14">
        <v>15445467.49035579</v>
      </c>
      <c r="CA29" s="12">
        <f t="shared" si="21"/>
        <v>38644.216153673195</v>
      </c>
      <c r="CB29" s="14">
        <v>15457809.959570579</v>
      </c>
      <c r="CC29" s="12">
        <f t="shared" si="22"/>
        <v>38675.096737152089</v>
      </c>
      <c r="CD29" s="12">
        <f>CA29+CC29</f>
        <v>77319.312890825284</v>
      </c>
      <c r="CE29" s="12">
        <f t="shared" si="23"/>
        <v>-12342.469214789569</v>
      </c>
      <c r="CF29" s="12">
        <f t="shared" si="24"/>
        <v>-30.880583478888163</v>
      </c>
      <c r="CG29" s="14">
        <v>471.95013230400002</v>
      </c>
      <c r="CH29" s="14">
        <v>473.94442973999992</v>
      </c>
      <c r="CI29" s="12">
        <f t="shared" si="40"/>
        <v>-1.9942974359998971</v>
      </c>
    </row>
    <row r="30" spans="1:87" x14ac:dyDescent="0.25">
      <c r="A30" s="5">
        <v>45716</v>
      </c>
      <c r="B30" s="17">
        <v>84.340999999999994</v>
      </c>
      <c r="C30" s="17">
        <v>3.1199999999999999E-5</v>
      </c>
      <c r="E30" s="10">
        <v>45716</v>
      </c>
      <c r="F30" s="12">
        <v>0</v>
      </c>
      <c r="G30" s="12">
        <f t="shared" si="25"/>
        <v>0</v>
      </c>
      <c r="H30" s="12">
        <v>0</v>
      </c>
      <c r="I30" s="12">
        <f t="shared" si="26"/>
        <v>0</v>
      </c>
      <c r="J30" s="12">
        <f t="shared" si="27"/>
        <v>0</v>
      </c>
      <c r="K30" s="12">
        <f t="shared" si="0"/>
        <v>0</v>
      </c>
      <c r="L30" s="12">
        <f t="shared" si="1"/>
        <v>0</v>
      </c>
      <c r="M30" s="12">
        <v>0</v>
      </c>
      <c r="N30" s="12">
        <v>0</v>
      </c>
      <c r="O30" s="12">
        <f t="shared" si="28"/>
        <v>0</v>
      </c>
      <c r="P30" s="6"/>
      <c r="Q30" s="10">
        <v>45716</v>
      </c>
      <c r="R30" s="12">
        <v>0</v>
      </c>
      <c r="S30" s="12">
        <f t="shared" si="2"/>
        <v>0</v>
      </c>
      <c r="T30" s="12">
        <v>0</v>
      </c>
      <c r="U30" s="12">
        <f t="shared" si="3"/>
        <v>0</v>
      </c>
      <c r="V30" s="12">
        <f>S30+U30</f>
        <v>0</v>
      </c>
      <c r="W30" s="12">
        <f>R30-T30</f>
        <v>0</v>
      </c>
      <c r="X30" s="12">
        <f t="shared" si="4"/>
        <v>0</v>
      </c>
      <c r="Y30" s="12">
        <v>0</v>
      </c>
      <c r="Z30" s="12">
        <v>0</v>
      </c>
      <c r="AA30" s="12">
        <f t="shared" si="30"/>
        <v>0</v>
      </c>
      <c r="AB30" s="8"/>
      <c r="AC30" s="10">
        <v>45716</v>
      </c>
      <c r="AD30" s="12">
        <v>15845616.92313195</v>
      </c>
      <c r="AE30" s="12">
        <f t="shared" si="5"/>
        <v>41696.777519712799</v>
      </c>
      <c r="AF30" s="12">
        <v>15857846.270422529</v>
      </c>
      <c r="AG30" s="12">
        <f t="shared" si="6"/>
        <v>41728.958303563639</v>
      </c>
      <c r="AH30" s="12">
        <f>AE30+AG30</f>
        <v>83425.735823276438</v>
      </c>
      <c r="AI30" s="12">
        <f t="shared" si="7"/>
        <v>-12229.34729057923</v>
      </c>
      <c r="AJ30" s="12">
        <f t="shared" si="8"/>
        <v>-32.180783850843973</v>
      </c>
      <c r="AK30" s="12">
        <v>493.67268095399999</v>
      </c>
      <c r="AL30" s="12">
        <v>495.74503228999998</v>
      </c>
      <c r="AM30" s="12">
        <f t="shared" si="32"/>
        <v>-2.072351335999997</v>
      </c>
      <c r="AN30" s="8"/>
      <c r="AO30" s="10">
        <v>45716</v>
      </c>
      <c r="AP30" s="12">
        <v>15782385.00813761</v>
      </c>
      <c r="AQ30" s="12">
        <f t="shared" si="9"/>
        <v>41530.386579905622</v>
      </c>
      <c r="AR30" s="12">
        <v>15796857.705848809</v>
      </c>
      <c r="AS30" s="12">
        <f t="shared" si="10"/>
        <v>41568.470603992624</v>
      </c>
      <c r="AT30" s="12">
        <f>AQ30+AS30</f>
        <v>83098.857183898246</v>
      </c>
      <c r="AU30" s="12">
        <f t="shared" si="11"/>
        <v>-14472.697711199522</v>
      </c>
      <c r="AV30" s="12">
        <f t="shared" si="12"/>
        <v>-38.084024087000699</v>
      </c>
      <c r="AW30" s="12">
        <v>491.77675860800002</v>
      </c>
      <c r="AX30" s="12">
        <v>493.809118485</v>
      </c>
      <c r="AY30" s="12">
        <f t="shared" si="34"/>
        <v>-2.0323598769999762</v>
      </c>
      <c r="AZ30" s="8"/>
      <c r="BA30" s="10">
        <v>45716</v>
      </c>
      <c r="BB30" s="12">
        <v>15844539.429968219</v>
      </c>
      <c r="BC30" s="12">
        <f t="shared" si="13"/>
        <v>41693.94216196402</v>
      </c>
      <c r="BD30" s="12">
        <v>15853674.91510446</v>
      </c>
      <c r="BE30" s="12">
        <f t="shared" si="14"/>
        <v>41717.981635662545</v>
      </c>
      <c r="BF30" s="12">
        <f>BC30+BE30</f>
        <v>83411.923797626572</v>
      </c>
      <c r="BG30" s="12">
        <f t="shared" si="15"/>
        <v>-9135.4851362407207</v>
      </c>
      <c r="BH30" s="12">
        <f t="shared" si="16"/>
        <v>-24.039473698521171</v>
      </c>
      <c r="BI30" s="12">
        <v>493.529219259</v>
      </c>
      <c r="BJ30" s="12">
        <v>495.74503228999998</v>
      </c>
      <c r="BK30" s="12">
        <f t="shared" si="36"/>
        <v>-2.2158130309999819</v>
      </c>
      <c r="BL30" s="8"/>
      <c r="BM30" s="10">
        <v>45716</v>
      </c>
      <c r="BN30" s="14">
        <v>15401506.040007651</v>
      </c>
      <c r="BO30" s="12">
        <f t="shared" si="17"/>
        <v>40528.126732712895</v>
      </c>
      <c r="BP30" s="14">
        <v>15387604.60598002</v>
      </c>
      <c r="BQ30" s="12">
        <f t="shared" si="18"/>
        <v>40491.545954276378</v>
      </c>
      <c r="BR30" s="12">
        <f>BO30+BQ30</f>
        <v>81019.672686989274</v>
      </c>
      <c r="BS30" s="12">
        <f t="shared" si="19"/>
        <v>13901.434027630836</v>
      </c>
      <c r="BT30" s="12">
        <f t="shared" si="20"/>
        <v>36.580778436521662</v>
      </c>
      <c r="BU30" s="14">
        <v>479.06049418999999</v>
      </c>
      <c r="BV30" s="14">
        <v>481.91370832000001</v>
      </c>
      <c r="BW30" s="12">
        <f t="shared" si="38"/>
        <v>-2.8532141300000262</v>
      </c>
      <c r="BX30" s="8"/>
      <c r="BY30" s="10">
        <v>45716</v>
      </c>
      <c r="BZ30" s="14">
        <v>13048366.868151009</v>
      </c>
      <c r="CA30" s="12">
        <f t="shared" si="21"/>
        <v>34335.984072833795</v>
      </c>
      <c r="CB30" s="14">
        <v>13057463.608602161</v>
      </c>
      <c r="CC30" s="12">
        <f t="shared" si="22"/>
        <v>34359.921592249179</v>
      </c>
      <c r="CD30" s="12">
        <f>CA30+CC30</f>
        <v>68695.905665082973</v>
      </c>
      <c r="CE30" s="12">
        <f t="shared" si="23"/>
        <v>-9096.7404511515051</v>
      </c>
      <c r="CF30" s="12">
        <f t="shared" si="24"/>
        <v>-23.937519415385754</v>
      </c>
      <c r="CG30" s="14">
        <v>406.26687654099999</v>
      </c>
      <c r="CH30" s="14">
        <v>408.04156051000001</v>
      </c>
      <c r="CI30" s="12">
        <f t="shared" si="40"/>
        <v>-1.7746839690000229</v>
      </c>
    </row>
  </sheetData>
  <mergeCells count="7">
    <mergeCell ref="BM1:BW1"/>
    <mergeCell ref="BY1:CI1"/>
    <mergeCell ref="E1:O1"/>
    <mergeCell ref="Q1:AA1"/>
    <mergeCell ref="AC1:AM1"/>
    <mergeCell ref="AO1:AY1"/>
    <mergeCell ref="BA1:BK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9"/>
  <sheetViews>
    <sheetView tabSelected="1" zoomScale="115" zoomScaleNormal="115" workbookViewId="0">
      <selection activeCell="D32" sqref="D32"/>
    </sheetView>
  </sheetViews>
  <sheetFormatPr defaultRowHeight="15" x14ac:dyDescent="0.25"/>
  <cols>
    <col min="1" max="1" width="15.85546875" customWidth="1"/>
    <col min="2" max="2" width="18.28515625" bestFit="1" customWidth="1"/>
    <col min="3" max="3" width="19.42578125" bestFit="1" customWidth="1"/>
    <col min="4" max="4" width="16" bestFit="1" customWidth="1"/>
    <col min="5" max="5" width="17" bestFit="1" customWidth="1"/>
    <col min="6" max="6" width="14" bestFit="1" customWidth="1"/>
    <col min="7" max="7" width="13.7109375" bestFit="1" customWidth="1"/>
    <col min="8" max="8" width="14.7109375" bestFit="1" customWidth="1"/>
    <col min="9" max="9" width="16.5703125" bestFit="1" customWidth="1"/>
    <col min="10" max="10" width="15.85546875" bestFit="1" customWidth="1"/>
    <col min="11" max="11" width="8.28515625" bestFit="1" customWidth="1"/>
    <col min="12" max="12" width="8.42578125" bestFit="1" customWidth="1"/>
    <col min="13" max="13" width="14.42578125" bestFit="1" customWidth="1"/>
    <col min="14" max="14" width="17.42578125" bestFit="1" customWidth="1"/>
  </cols>
  <sheetData>
    <row r="1" spans="1:14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9</v>
      </c>
      <c r="J1" s="3" t="s">
        <v>10</v>
      </c>
      <c r="K1" s="3" t="s">
        <v>11</v>
      </c>
      <c r="L1" s="3" t="s">
        <v>12</v>
      </c>
      <c r="M1" s="3" t="s">
        <v>14</v>
      </c>
      <c r="N1" s="3" t="s">
        <v>8</v>
      </c>
    </row>
    <row r="2" spans="1:14" x14ac:dyDescent="0.25">
      <c r="A2" s="5">
        <v>46054</v>
      </c>
      <c r="B2" s="18">
        <v>105.054</v>
      </c>
      <c r="C2" s="19">
        <v>2.9179999999999998E-5</v>
      </c>
      <c r="D2" s="18">
        <f>Sheet1!F3+Sheet1!R3+Sheet1!AD3+Sheet1!AP3+Sheet1!BB3+Sheet1!BN3+Sheet1!BZ3</f>
        <v>87149021.980344951</v>
      </c>
      <c r="E2" s="18">
        <f>Sheet1!G3+Sheet1!S3+Sheet1!AE3+Sheet1!AQ3+Sheet1!BC3+Sheet1!BO3+Sheet1!CA3</f>
        <v>267153.2109024938</v>
      </c>
      <c r="F2" s="18">
        <f>Sheet1!H3+Sheet1!T3+Sheet1!AF3+Sheet1!AR3+Sheet1!BD3+Sheet1!BP3+Sheet1!CB3</f>
        <v>87142207.06474334</v>
      </c>
      <c r="G2" s="18">
        <f>Sheet1!I3+Sheet1!U3+Sheet1!AG3+Sheet1!AS3+Sheet1!BE3+Sheet1!BQ3+Sheet1!CC3</f>
        <v>267132.31994418317</v>
      </c>
      <c r="H2" s="18">
        <f>Sheet1!J3+Sheet1!V3+Sheet1!AH3+Sheet1!AT3+Sheet1!BF3+Sheet1!BR3+Sheet1!CD3</f>
        <v>534285.53084667691</v>
      </c>
      <c r="I2" s="18">
        <f>Sheet1!K3+Sheet1!W3+Sheet1!AI3+Sheet1!AU3+Sheet1!BG3+Sheet1!BS3+Sheet1!CE3</f>
        <v>6814.9156016209163</v>
      </c>
      <c r="J2" s="18">
        <f>Sheet1!L3+Sheet1!X3+Sheet1!AJ3+Sheet1!AV3+Sheet1!BH3+Sheet1!BT3+Sheet1!CF3</f>
        <v>20.890958310618132</v>
      </c>
      <c r="K2" s="18">
        <f>Sheet1!M3+Sheet1!Y3+Sheet1!AK3+Sheet1!AW3+Sheet1!BI3+Sheet1!BU3+Sheet1!CG3</f>
        <v>2552.2718948039997</v>
      </c>
      <c r="L2" s="18">
        <f>Sheet1!N3+Sheet1!Z3+Sheet1!AL3+Sheet1!AX3+Sheet1!BJ3+Sheet1!BV3+Sheet1!CH3</f>
        <v>2565.4134521500005</v>
      </c>
      <c r="M2" s="18">
        <f>Sheet1!O3+Sheet1!AA3+Sheet1!AM3+Sheet1!AY3+Sheet1!BK3+Sheet1!BW3+Sheet1!CI3</f>
        <v>-13.141557346000056</v>
      </c>
      <c r="N2" s="23">
        <v>36.264893239999999</v>
      </c>
    </row>
    <row r="3" spans="1:14" x14ac:dyDescent="0.25">
      <c r="A3" s="5">
        <v>46055</v>
      </c>
      <c r="B3" s="20">
        <v>99.596000000000004</v>
      </c>
      <c r="C3" s="19">
        <v>3.0020000000000001E-5</v>
      </c>
      <c r="D3" s="18">
        <f>Sheet1!F4+Sheet1!R4+Sheet1!AD4+Sheet1!AP4+Sheet1!BB4+Sheet1!BN4+Sheet1!BZ4</f>
        <v>102167683.82287952</v>
      </c>
      <c r="E3" s="18">
        <f>Sheet1!G4+Sheet1!S4+Sheet1!AE4+Sheet1!AQ4+Sheet1!BC4+Sheet1!BO4+Sheet1!CA4</f>
        <v>305468.28899346577</v>
      </c>
      <c r="F3" s="18">
        <f>Sheet1!H4+Sheet1!T4+Sheet1!AF4+Sheet1!AR4+Sheet1!BD4+Sheet1!BP4+Sheet1!CB4</f>
        <v>102267689.64534119</v>
      </c>
      <c r="G3" s="18">
        <f>Sheet1!I4+Sheet1!U4+Sheet1!AG4+Sheet1!AS4+Sheet1!BE4+Sheet1!BQ4+Sheet1!CC4</f>
        <v>305767.29359388037</v>
      </c>
      <c r="H3" s="18">
        <f>Sheet1!J4+Sheet1!V4+Sheet1!AH4+Sheet1!AT4+Sheet1!BF4+Sheet1!BR4+Sheet1!CD4</f>
        <v>611235.5825873462</v>
      </c>
      <c r="I3" s="18">
        <f>Sheet1!K4+Sheet1!W4+Sheet1!AI4+Sheet1!AU4+Sheet1!BG4+Sheet1!BS4+Sheet1!CE4</f>
        <v>-100005.82246166421</v>
      </c>
      <c r="J3" s="18">
        <f>Sheet1!L4+Sheet1!X4+Sheet1!AJ4+Sheet1!AV4+Sheet1!BH4+Sheet1!BT4+Sheet1!CF4</f>
        <v>-299.00460041463509</v>
      </c>
      <c r="K3" s="18">
        <f>Sheet1!M4+Sheet1!Y4+Sheet1!AK4+Sheet1!AW4+Sheet1!BI4+Sheet1!BU4+Sheet1!CG4</f>
        <v>3003.1265322629997</v>
      </c>
      <c r="L3" s="18">
        <f>Sheet1!N4+Sheet1!Z4+Sheet1!AL4+Sheet1!AX4+Sheet1!BJ4+Sheet1!BV4+Sheet1!CH4</f>
        <v>3015.5192979440003</v>
      </c>
      <c r="M3" s="18">
        <f>Sheet1!O4+Sheet1!AA4+Sheet1!AM4+Sheet1!AY4+Sheet1!BK4+Sheet1!BW4+Sheet1!CI4</f>
        <v>-12.392765681000157</v>
      </c>
      <c r="N3" s="18">
        <v>29.65403753</v>
      </c>
    </row>
    <row r="4" spans="1:14" x14ac:dyDescent="0.25">
      <c r="A4" s="5">
        <v>46056</v>
      </c>
      <c r="B4" s="18">
        <v>104.961</v>
      </c>
      <c r="C4" s="19">
        <v>2.9110000000000001E-5</v>
      </c>
      <c r="D4" s="18">
        <f>Sheet1!F5+Sheet1!R5+Sheet1!AD5+Sheet1!AP5+Sheet1!BB5+Sheet1!BN5+Sheet1!BZ5</f>
        <v>84391093.177359045</v>
      </c>
      <c r="E4" s="18">
        <f>Sheet1!G5+Sheet1!S5+Sheet1!AE5+Sheet1!AQ5+Sheet1!BC5+Sheet1!BO5+Sheet1!CA5</f>
        <v>257849.78748708346</v>
      </c>
      <c r="F4" s="18">
        <f>Sheet1!H5+Sheet1!T5+Sheet1!AF5+Sheet1!AR5+Sheet1!BD5+Sheet1!BP5+Sheet1!CB5</f>
        <v>84268949.890857801</v>
      </c>
      <c r="G4" s="18">
        <f>Sheet1!I5+Sheet1!U5+Sheet1!AG5+Sheet1!AS5+Sheet1!BE5+Sheet1!BQ5+Sheet1!CC5</f>
        <v>257476.58909277982</v>
      </c>
      <c r="H4" s="18">
        <f>Sheet1!J5+Sheet1!V5+Sheet1!AH5+Sheet1!AT5+Sheet1!BF5+Sheet1!BR5+Sheet1!CD5</f>
        <v>515326.37657986325</v>
      </c>
      <c r="I4" s="18">
        <f>Sheet1!K5+Sheet1!W5+Sheet1!AI5+Sheet1!AU5+Sheet1!BG5+Sheet1!BS5+Sheet1!CE5</f>
        <v>122143.28650123975</v>
      </c>
      <c r="J4" s="18">
        <f>Sheet1!L5+Sheet1!X5+Sheet1!AJ5+Sheet1!AV5+Sheet1!BH5+Sheet1!BT5+Sheet1!CF5</f>
        <v>373.19839430363243</v>
      </c>
      <c r="K4" s="18">
        <f>Sheet1!M5+Sheet1!Y5+Sheet1!AK5+Sheet1!AW5+Sheet1!BI5+Sheet1!BU5+Sheet1!CG5</f>
        <v>2483.129554959</v>
      </c>
      <c r="L4" s="18">
        <f>Sheet1!N5+Sheet1!Z5+Sheet1!AL5+Sheet1!AX5+Sheet1!BJ5+Sheet1!BV5+Sheet1!CH5</f>
        <v>2499.2520684479996</v>
      </c>
      <c r="M4" s="18">
        <f>Sheet1!O5+Sheet1!AA5+Sheet1!AM5+Sheet1!AY5+Sheet1!BK5+Sheet1!BW5+Sheet1!CI5</f>
        <v>-16.12251348900012</v>
      </c>
      <c r="N4" s="18">
        <v>34.087935829999999</v>
      </c>
    </row>
    <row r="5" spans="1:14" x14ac:dyDescent="0.25">
      <c r="A5" s="5">
        <v>46057</v>
      </c>
      <c r="B5" s="18">
        <v>98.775999999999996</v>
      </c>
      <c r="C5" s="19">
        <v>3.0380000000000001E-5</v>
      </c>
      <c r="D5" s="18">
        <f>Sheet1!F6+Sheet1!R6+Sheet1!AD6+Sheet1!AP6+Sheet1!BB6+Sheet1!BN6+Sheet1!BZ6</f>
        <v>108190329.93255624</v>
      </c>
      <c r="E5" s="18">
        <f>Sheet1!G6+Sheet1!S6+Sheet1!AE6+Sheet1!AQ6+Sheet1!BC6+Sheet1!BO6+Sheet1!CA6</f>
        <v>324659.15193372418</v>
      </c>
      <c r="F5" s="18">
        <f>Sheet1!H6+Sheet1!T6+Sheet1!AF6+Sheet1!AR6+Sheet1!BD6+Sheet1!BP6+Sheet1!CB6</f>
        <v>108185530.83851883</v>
      </c>
      <c r="G5" s="18">
        <f>Sheet1!I6+Sheet1!U6+Sheet1!AG6+Sheet1!AS6+Sheet1!BE6+Sheet1!BQ6+Sheet1!CC6</f>
        <v>324644.75074092619</v>
      </c>
      <c r="H5" s="18">
        <f>Sheet1!J6+Sheet1!V6+Sheet1!AH6+Sheet1!AT6+Sheet1!BF6+Sheet1!BR6+Sheet1!CD6</f>
        <v>649303.90267465031</v>
      </c>
      <c r="I5" s="18">
        <f>Sheet1!K6+Sheet1!W6+Sheet1!AI6+Sheet1!AU6+Sheet1!BG6+Sheet1!BS6+Sheet1!CE6</f>
        <v>4799.0940374210477</v>
      </c>
      <c r="J5" s="18">
        <f>Sheet1!L6+Sheet1!X6+Sheet1!AJ6+Sheet1!AV6+Sheet1!BH6+Sheet1!BT6+Sheet1!CF6</f>
        <v>14.40119279801236</v>
      </c>
      <c r="K5" s="18">
        <f>Sheet1!M6+Sheet1!Y6+Sheet1!AK6+Sheet1!AW6+Sheet1!BI6+Sheet1!BU6+Sheet1!CG6</f>
        <v>3343.9847803429998</v>
      </c>
      <c r="L5" s="18">
        <f>Sheet1!N6+Sheet1!Z6+Sheet1!AL6+Sheet1!AX6+Sheet1!BJ6+Sheet1!BV6+Sheet1!CH6</f>
        <v>3361.0056356199998</v>
      </c>
      <c r="M5" s="18">
        <f>Sheet1!O6+Sheet1!AA6+Sheet1!AM6+Sheet1!AY6+Sheet1!BK6+Sheet1!BW6+Sheet1!CI6</f>
        <v>-17.020855276999924</v>
      </c>
      <c r="N5" s="18">
        <v>22.630392199999999</v>
      </c>
    </row>
    <row r="6" spans="1:14" x14ac:dyDescent="0.25">
      <c r="A6" s="5">
        <v>46058</v>
      </c>
      <c r="B6" s="18">
        <v>91.792000000000002</v>
      </c>
      <c r="C6" s="19">
        <v>3.1739999999999998E-5</v>
      </c>
      <c r="D6" s="18">
        <f>Sheet1!F7+Sheet1!R7+Sheet1!AD7+Sheet1!AP7+Sheet1!BB7+Sheet1!BN7+Sheet1!BZ7</f>
        <v>66026651.656850524</v>
      </c>
      <c r="E6" s="18">
        <f>Sheet1!G7+Sheet1!S7+Sheet1!AE7+Sheet1!AQ7+Sheet1!BC7+Sheet1!BO7+Sheet1!CA7</f>
        <v>192367.2022980297</v>
      </c>
      <c r="F6" s="18">
        <f>Sheet1!H7+Sheet1!T7+Sheet1!AF7+Sheet1!AR7+Sheet1!BD7+Sheet1!BP7+Sheet1!CB7</f>
        <v>66124232.081406206</v>
      </c>
      <c r="G6" s="18">
        <f>Sheet1!I7+Sheet1!U7+Sheet1!AG7+Sheet1!AS7+Sheet1!BE7+Sheet1!BQ7+Sheet1!CC7</f>
        <v>192651.50072600975</v>
      </c>
      <c r="H6" s="18">
        <f>Sheet1!J7+Sheet1!V7+Sheet1!AH7+Sheet1!AT7+Sheet1!BF7+Sheet1!BR7+Sheet1!CD7</f>
        <v>385018.70302403939</v>
      </c>
      <c r="I6" s="18">
        <f>Sheet1!K7+Sheet1!W7+Sheet1!AI7+Sheet1!AU7+Sheet1!BG7+Sheet1!BS7+Sheet1!CE7</f>
        <v>-97580.424555682926</v>
      </c>
      <c r="J6" s="18">
        <f>Sheet1!L7+Sheet1!X7+Sheet1!AJ7+Sheet1!AV7+Sheet1!BH7+Sheet1!BT7+Sheet1!CF7</f>
        <v>-284.29842798007593</v>
      </c>
      <c r="K6" s="18">
        <f>Sheet1!M7+Sheet1!Y7+Sheet1!AK7+Sheet1!AW7+Sheet1!BI7+Sheet1!BU7+Sheet1!CG7</f>
        <v>2131.2087608040001</v>
      </c>
      <c r="L6" s="18">
        <f>Sheet1!N7+Sheet1!Z7+Sheet1!AL7+Sheet1!AX7+Sheet1!BJ7+Sheet1!BV7+Sheet1!CH7</f>
        <v>2138.8859328399999</v>
      </c>
      <c r="M6" s="18">
        <f>Sheet1!O7+Sheet1!AA7+Sheet1!AM7+Sheet1!AY7+Sheet1!BK7+Sheet1!BW7+Sheet1!CI7</f>
        <v>-7.677172035999984</v>
      </c>
      <c r="N6" s="18">
        <v>17.734695810000002</v>
      </c>
    </row>
    <row r="7" spans="1:14" x14ac:dyDescent="0.25">
      <c r="A7" s="5">
        <v>46059</v>
      </c>
      <c r="B7" s="18">
        <v>76.506</v>
      </c>
      <c r="C7" s="19">
        <v>3.3179999999999997E-5</v>
      </c>
      <c r="D7" s="18">
        <f>Sheet1!F8+Sheet1!R8+Sheet1!AD8+Sheet1!AP8+Sheet1!BB8+Sheet1!BN8+Sheet1!BZ8</f>
        <v>77445298.437734276</v>
      </c>
      <c r="E7" s="18">
        <f>Sheet1!G8+Sheet1!S8+Sheet1!AE8+Sheet1!AQ8+Sheet1!BC8+Sheet1!BO8+Sheet1!CA8</f>
        <v>196592.49547556075</v>
      </c>
      <c r="F7" s="18">
        <f>Sheet1!H8+Sheet1!T8+Sheet1!AF8+Sheet1!AR8+Sheet1!BD8+Sheet1!BP8+Sheet1!CB8</f>
        <v>77571248.346810728</v>
      </c>
      <c r="G7" s="18">
        <f>Sheet1!I8+Sheet1!U8+Sheet1!AG8+Sheet1!AS8+Sheet1!BE8+Sheet1!BQ8+Sheet1!CC8</f>
        <v>196912.2154253801</v>
      </c>
      <c r="H7" s="18">
        <f>Sheet1!J8+Sheet1!V8+Sheet1!AH8+Sheet1!AT8+Sheet1!BF8+Sheet1!BR8+Sheet1!CD8</f>
        <v>393504.71090094082</v>
      </c>
      <c r="I7" s="18">
        <f>Sheet1!K8+Sheet1!W8+Sheet1!AI8+Sheet1!AU8+Sheet1!BG8+Sheet1!BS8+Sheet1!CE8</f>
        <v>-125949.9090764462</v>
      </c>
      <c r="J7" s="18">
        <f>Sheet1!L8+Sheet1!X8+Sheet1!AJ8+Sheet1!AV8+Sheet1!BH8+Sheet1!BT8+Sheet1!CF8</f>
        <v>-319.71994981936996</v>
      </c>
      <c r="K7" s="18">
        <f>Sheet1!M8+Sheet1!Y8+Sheet1!AK8+Sheet1!AW8+Sheet1!BI8+Sheet1!BU8+Sheet1!CG8</f>
        <v>2498.5889845129996</v>
      </c>
      <c r="L7" s="18">
        <f>Sheet1!N8+Sheet1!Z8+Sheet1!AL8+Sheet1!AX8+Sheet1!BJ8+Sheet1!BV8+Sheet1!CH8</f>
        <v>2506.9424256900002</v>
      </c>
      <c r="M7" s="18">
        <f>Sheet1!O8+Sheet1!AA8+Sheet1!AM8+Sheet1!AY8+Sheet1!BK8+Sheet1!BW8+Sheet1!CI8</f>
        <v>-8.353441176999965</v>
      </c>
      <c r="N7" s="18">
        <v>12.06099948</v>
      </c>
    </row>
    <row r="8" spans="1:14" x14ac:dyDescent="0.25">
      <c r="A8" s="5">
        <v>46060</v>
      </c>
      <c r="B8" s="18">
        <v>87.497</v>
      </c>
      <c r="C8" s="19">
        <v>3.1199999999999999E-5</v>
      </c>
      <c r="D8" s="18">
        <f>Sheet1!F9+Sheet1!R9+Sheet1!AD9+Sheet1!AP9+Sheet1!BB9+Sheet1!BN9+Sheet1!BZ9</f>
        <v>75148439.447380677</v>
      </c>
      <c r="E8" s="18">
        <f>Sheet1!G9+Sheet1!S9+Sheet1!AE9+Sheet1!AQ9+Sheet1!BC9+Sheet1!BO9+Sheet1!CA9</f>
        <v>205148.20579741703</v>
      </c>
      <c r="F8" s="18">
        <f>Sheet1!H9+Sheet1!T9+Sheet1!AF9+Sheet1!AR9+Sheet1!BD9+Sheet1!BP9+Sheet1!CB9</f>
        <v>75132761.881791979</v>
      </c>
      <c r="G8" s="18">
        <f>Sheet1!I9+Sheet1!U9+Sheet1!AG9+Sheet1!AS9+Sheet1!BE9+Sheet1!BQ9+Sheet1!CC9</f>
        <v>205105.40751077997</v>
      </c>
      <c r="H8" s="18">
        <f>Sheet1!J9+Sheet1!V9+Sheet1!AH9+Sheet1!AT9+Sheet1!BF9+Sheet1!BR9+Sheet1!CD9</f>
        <v>410253.613308197</v>
      </c>
      <c r="I8" s="18">
        <f>Sheet1!K9+Sheet1!W9+Sheet1!AI9+Sheet1!AU9+Sheet1!BG9+Sheet1!BS9+Sheet1!CE9</f>
        <v>15677.565588701516</v>
      </c>
      <c r="J8" s="18">
        <f>Sheet1!L9+Sheet1!X9+Sheet1!AJ9+Sheet1!AV9+Sheet1!BH9+Sheet1!BT9+Sheet1!CF9</f>
        <v>42.798286637016034</v>
      </c>
      <c r="K8" s="18">
        <f>Sheet1!M9+Sheet1!Y9+Sheet1!AK9+Sheet1!AW9+Sheet1!BI9+Sheet1!BU9+Sheet1!CG9</f>
        <v>2326.4973389379998</v>
      </c>
      <c r="L8" s="18">
        <f>Sheet1!N9+Sheet1!Z9+Sheet1!AL9+Sheet1!AX9+Sheet1!BJ9+Sheet1!BV9+Sheet1!CH9</f>
        <v>2338.7051230500001</v>
      </c>
      <c r="M8" s="18">
        <f>Sheet1!O9+Sheet1!AA9+Sheet1!AM9+Sheet1!AY9+Sheet1!BK9+Sheet1!BW9+Sheet1!CI9</f>
        <v>-12.207784111999985</v>
      </c>
      <c r="N8" s="18">
        <v>19.255578180000001</v>
      </c>
    </row>
    <row r="9" spans="1:14" x14ac:dyDescent="0.25">
      <c r="A9" s="5">
        <v>46061</v>
      </c>
      <c r="B9" s="18">
        <v>87.241</v>
      </c>
      <c r="C9" s="19">
        <v>3.0589999999999997E-5</v>
      </c>
      <c r="D9" s="18">
        <f>Sheet1!F10+Sheet1!R10+Sheet1!AD10+Sheet1!AP10+Sheet1!BB10+Sheet1!BN10+Sheet1!BZ10</f>
        <v>76951163.807426617</v>
      </c>
      <c r="E9" s="18">
        <f>Sheet1!G10+Sheet1!S10+Sheet1!AE10+Sheet1!AQ10+Sheet1!BC10+Sheet1!BO10+Sheet1!CA10</f>
        <v>205359.73937592813</v>
      </c>
      <c r="F9" s="18">
        <f>Sheet1!H10+Sheet1!T10+Sheet1!AF10+Sheet1!AR10+Sheet1!BD10+Sheet1!BP10+Sheet1!CB10</f>
        <v>76908072.961156785</v>
      </c>
      <c r="G9" s="18">
        <f>Sheet1!I10+Sheet1!U10+Sheet1!AG10+Sheet1!AS10+Sheet1!BE10+Sheet1!BQ10+Sheet1!CC10</f>
        <v>205244.74274011888</v>
      </c>
      <c r="H9" s="18">
        <f>Sheet1!J10+Sheet1!V10+Sheet1!AH10+Sheet1!AT10+Sheet1!BF10+Sheet1!BR10+Sheet1!CD10</f>
        <v>410604.48211604706</v>
      </c>
      <c r="I9" s="18">
        <f>Sheet1!K10+Sheet1!W10+Sheet1!AI10+Sheet1!AU10+Sheet1!BG10+Sheet1!BS10+Sheet1!CE10</f>
        <v>43090.846269828733</v>
      </c>
      <c r="J9" s="18">
        <f>Sheet1!L10+Sheet1!X10+Sheet1!AJ10+Sheet1!AV10+Sheet1!BH10+Sheet1!BT10+Sheet1!CF10</f>
        <v>114.99663580924526</v>
      </c>
      <c r="K9" s="18">
        <f>Sheet1!M10+Sheet1!Y10+Sheet1!AK10+Sheet1!AW10+Sheet1!BI10+Sheet1!BU10+Sheet1!CG10</f>
        <v>2370.9148775409999</v>
      </c>
      <c r="L9" s="18">
        <f>Sheet1!N10+Sheet1!Z10+Sheet1!AL10+Sheet1!AX10+Sheet1!BJ10+Sheet1!BV10+Sheet1!CH10</f>
        <v>2384.2052632730001</v>
      </c>
      <c r="M9" s="18">
        <f>Sheet1!O10+Sheet1!AA10+Sheet1!AM10+Sheet1!AY10+Sheet1!BK10+Sheet1!BW10+Sheet1!CI10</f>
        <v>-13.290385732000004</v>
      </c>
      <c r="N9" s="18">
        <v>21.111502720000001</v>
      </c>
    </row>
    <row r="10" spans="1:14" x14ac:dyDescent="0.25">
      <c r="A10" s="5">
        <v>46062</v>
      </c>
      <c r="B10" s="18">
        <v>86.742999999999995</v>
      </c>
      <c r="C10" s="19">
        <v>3.1199999999999999E-5</v>
      </c>
      <c r="D10" s="18">
        <f>Sheet1!F11+Sheet1!R11+Sheet1!AD11+Sheet1!AP11+Sheet1!BB11+Sheet1!BN11+Sheet1!BZ11</f>
        <v>77558795.225630254</v>
      </c>
      <c r="E10" s="18">
        <f>Sheet1!G11+Sheet1!S11+Sheet1!AE11+Sheet1!AQ11+Sheet1!BC11+Sheet1!BO11+Sheet1!CA11</f>
        <v>209903.69631681356</v>
      </c>
      <c r="F10" s="18">
        <f>Sheet1!H11+Sheet1!T11+Sheet1!AF11+Sheet1!AR11+Sheet1!BD11+Sheet1!BP11+Sheet1!CB11</f>
        <v>77529699.081511915</v>
      </c>
      <c r="G10" s="18">
        <f>Sheet1!I11+Sheet1!U11+Sheet1!AG11+Sheet1!AS11+Sheet1!BE11+Sheet1!BQ11+Sheet1!CC11</f>
        <v>209824.95104774076</v>
      </c>
      <c r="H10" s="18">
        <f>Sheet1!J11+Sheet1!V11+Sheet1!AH11+Sheet1!AT11+Sheet1!BF11+Sheet1!BR11+Sheet1!CD11</f>
        <v>419728.64736455423</v>
      </c>
      <c r="I10" s="18">
        <f>Sheet1!K11+Sheet1!W11+Sheet1!AI11+Sheet1!AU11+Sheet1!BG11+Sheet1!BS11+Sheet1!CE11</f>
        <v>29096.144118337164</v>
      </c>
      <c r="J10" s="18">
        <f>Sheet1!L11+Sheet1!X11+Sheet1!AJ11+Sheet1!AV11+Sheet1!BH11+Sheet1!BT11+Sheet1!CF11</f>
        <v>78.74526907281593</v>
      </c>
      <c r="K10" s="18">
        <f>Sheet1!M11+Sheet1!Y11+Sheet1!AK11+Sheet1!AW11+Sheet1!BI11+Sheet1!BU11+Sheet1!CG11</f>
        <v>2425.4332250259999</v>
      </c>
      <c r="L10" s="18">
        <f>Sheet1!N11+Sheet1!Z11+Sheet1!AL11+Sheet1!AX11+Sheet1!BJ11+Sheet1!BV11+Sheet1!CH11</f>
        <v>2438.5618214319998</v>
      </c>
      <c r="M10" s="18">
        <f>Sheet1!O11+Sheet1!AA11+Sheet1!AM11+Sheet1!AY11+Sheet1!BK11+Sheet1!BW11+Sheet1!CI11</f>
        <v>-13.128596405999982</v>
      </c>
      <c r="N10" s="18">
        <v>14.33225468</v>
      </c>
    </row>
    <row r="11" spans="1:14" x14ac:dyDescent="0.25">
      <c r="A11" s="5">
        <v>46063</v>
      </c>
      <c r="B11" s="18">
        <v>86.578999999999994</v>
      </c>
      <c r="C11" s="19">
        <v>3.1359999999999998E-5</v>
      </c>
      <c r="D11" s="18">
        <f>Sheet1!F12+Sheet1!R12+Sheet1!AD12+Sheet1!AP12+Sheet1!BB12+Sheet1!BN12+Sheet1!BZ12</f>
        <v>85180153.608618945</v>
      </c>
      <c r="E11" s="18">
        <f>Sheet1!G12+Sheet1!S12+Sheet1!AE12+Sheet1!AQ12+Sheet1!BC12+Sheet1!BO12+Sheet1!CA12</f>
        <v>231274.12060464016</v>
      </c>
      <c r="F11" s="18">
        <f>Sheet1!H12+Sheet1!T12+Sheet1!AF12+Sheet1!AR12+Sheet1!BD12+Sheet1!BP12+Sheet1!CB12</f>
        <v>85225321.968158156</v>
      </c>
      <c r="G11" s="18">
        <f>Sheet1!I12+Sheet1!U12+Sheet1!AG12+Sheet1!AS12+Sheet1!BE12+Sheet1!BQ12+Sheet1!CC12</f>
        <v>231396.75800536131</v>
      </c>
      <c r="H11" s="18">
        <f>Sheet1!J12+Sheet1!V12+Sheet1!AH12+Sheet1!AT12+Sheet1!BF12+Sheet1!BR12+Sheet1!CD12</f>
        <v>462670.87861000153</v>
      </c>
      <c r="I11" s="18">
        <f>Sheet1!K12+Sheet1!W12+Sheet1!AI12+Sheet1!AU12+Sheet1!BG12+Sheet1!BS12+Sheet1!CE12</f>
        <v>-45168.359539214609</v>
      </c>
      <c r="J11" s="18">
        <f>Sheet1!L12+Sheet1!X12+Sheet1!AJ12+Sheet1!AV12+Sheet1!BH12+Sheet1!BT12+Sheet1!CF12</f>
        <v>-122.63740072111193</v>
      </c>
      <c r="K11" s="18">
        <f>Sheet1!M12+Sheet1!Y12+Sheet1!AK12+Sheet1!AW12+Sheet1!BI12+Sheet1!BU12+Sheet1!CG12</f>
        <v>2668.549397971</v>
      </c>
      <c r="L11" s="18">
        <f>Sheet1!N12+Sheet1!Z12+Sheet1!AL12+Sheet1!AX12+Sheet1!BJ12+Sheet1!BV12+Sheet1!CH12</f>
        <v>2680.5144499620001</v>
      </c>
      <c r="M11" s="18">
        <f>Sheet1!O12+Sheet1!AA12+Sheet1!AM12+Sheet1!AY12+Sheet1!BK12+Sheet1!BW12+Sheet1!CI12</f>
        <v>-11.965051991000085</v>
      </c>
      <c r="N11" s="18">
        <v>10.788357019999999</v>
      </c>
    </row>
    <row r="12" spans="1:14" x14ac:dyDescent="0.25">
      <c r="A12" s="5">
        <v>46064</v>
      </c>
      <c r="B12" s="18">
        <v>82.984999999999999</v>
      </c>
      <c r="C12" s="19">
        <v>3.1050000000000003E-5</v>
      </c>
      <c r="D12" s="18">
        <f>Sheet1!F13+Sheet1!R13+Sheet1!AD13+Sheet1!AP13+Sheet1!BB13+Sheet1!BN13+Sheet1!BZ13</f>
        <v>90290588.060401499</v>
      </c>
      <c r="E12" s="18">
        <f>Sheet1!G13+Sheet1!S13+Sheet1!AE13+Sheet1!AQ13+Sheet1!BC13+Sheet1!BO13+Sheet1!CA13</f>
        <v>232650.33617847459</v>
      </c>
      <c r="F12" s="18">
        <f>Sheet1!H13+Sheet1!T13+Sheet1!AF13+Sheet1!AR13+Sheet1!BD13+Sheet1!BP13+Sheet1!CB13</f>
        <v>90216958.850205749</v>
      </c>
      <c r="G12" s="18">
        <f>Sheet1!I13+Sheet1!U13+Sheet1!AG13+Sheet1!AS13+Sheet1!BE13+Sheet1!BQ13+Sheet1!CC13</f>
        <v>232460.61695222324</v>
      </c>
      <c r="H12" s="18">
        <f>Sheet1!J13+Sheet1!V13+Sheet1!AH13+Sheet1!AT13+Sheet1!BF13+Sheet1!BR13+Sheet1!CD13</f>
        <v>465110.95313069789</v>
      </c>
      <c r="I12" s="18">
        <f>Sheet1!K13+Sheet1!W13+Sheet1!AI13+Sheet1!AU13+Sheet1!BG13+Sheet1!BS13+Sheet1!CE13</f>
        <v>73629.210195754655</v>
      </c>
      <c r="J12" s="18">
        <f>Sheet1!L13+Sheet1!X13+Sheet1!AJ13+Sheet1!AV13+Sheet1!BH13+Sheet1!BT13+Sheet1!CF13</f>
        <v>189.71922625134047</v>
      </c>
      <c r="K12" s="18">
        <f>Sheet1!M13+Sheet1!Y13+Sheet1!AK13+Sheet1!AW13+Sheet1!BI13+Sheet1!BU13+Sheet1!CG13</f>
        <v>2839.2013068079996</v>
      </c>
      <c r="L12" s="18">
        <f>Sheet1!N13+Sheet1!Z13+Sheet1!AL13+Sheet1!AX13+Sheet1!BJ13+Sheet1!BV13+Sheet1!CH13</f>
        <v>2855.7920011099995</v>
      </c>
      <c r="M12" s="18">
        <f>Sheet1!O13+Sheet1!AA13+Sheet1!AM13+Sheet1!AY13+Sheet1!BK13+Sheet1!BW13+Sheet1!CI13</f>
        <v>-16.590694302000045</v>
      </c>
      <c r="N12" s="18">
        <v>10.97584719</v>
      </c>
    </row>
    <row r="13" spans="1:14" ht="15.75" x14ac:dyDescent="0.25">
      <c r="A13" s="5">
        <v>46065</v>
      </c>
      <c r="B13" s="21">
        <v>80.494</v>
      </c>
      <c r="C13" s="22">
        <v>3.1869999999999998E-5</v>
      </c>
      <c r="D13" s="18">
        <f>Sheet1!F14+Sheet1!R14+Sheet1!AD14+Sheet1!AP14+Sheet1!BB14+Sheet1!BN14+Sheet1!BZ14</f>
        <v>95579301.178160816</v>
      </c>
      <c r="E13" s="18">
        <f>Sheet1!G14+Sheet1!S14+Sheet1!AE14+Sheet1!AQ14+Sheet1!BC14+Sheet1!BO14+Sheet1!CA14</f>
        <v>245193.76577414153</v>
      </c>
      <c r="F13" s="18">
        <f>Sheet1!H14+Sheet1!T14+Sheet1!AF14+Sheet1!AR14+Sheet1!BD14+Sheet1!BP14+Sheet1!CB14</f>
        <v>95556766.762156248</v>
      </c>
      <c r="G13" s="18">
        <f>Sheet1!I14+Sheet1!U14+Sheet1!AG14+Sheet1!AS14+Sheet1!BE14+Sheet1!BQ14+Sheet1!CC14</f>
        <v>245135.95725020822</v>
      </c>
      <c r="H13" s="18">
        <f>Sheet1!J14+Sheet1!V14+Sheet1!AH14+Sheet1!AT14+Sheet1!BF14+Sheet1!BR14+Sheet1!CD14</f>
        <v>490329.72302434972</v>
      </c>
      <c r="I13" s="18">
        <f>Sheet1!K14+Sheet1!W14+Sheet1!AI14+Sheet1!AU14+Sheet1!BG14+Sheet1!BS14+Sheet1!CE14</f>
        <v>22534.416004586965</v>
      </c>
      <c r="J13" s="18">
        <f>Sheet1!L14+Sheet1!X14+Sheet1!AJ14+Sheet1!AV14+Sheet1!BH14+Sheet1!BT14+Sheet1!CF14</f>
        <v>57.808523933299611</v>
      </c>
      <c r="K13" s="18">
        <f>Sheet1!M14+Sheet1!Y14+Sheet1!AK14+Sheet1!AW14+Sheet1!BI14+Sheet1!BU14+Sheet1!CG14</f>
        <v>3043.941732927</v>
      </c>
      <c r="L13" s="18">
        <f>Sheet1!N14+Sheet1!Z14+Sheet1!AL14+Sheet1!AX14+Sheet1!BJ14+Sheet1!BV14+Sheet1!CH14</f>
        <v>3059.9333854049996</v>
      </c>
      <c r="M13" s="18">
        <f>Sheet1!O14+Sheet1!AA14+Sheet1!AM14+Sheet1!AY14+Sheet1!BK14+Sheet1!BW14+Sheet1!CI14</f>
        <v>-15.991652477999892</v>
      </c>
      <c r="N13" s="18">
        <v>12.859914890000001</v>
      </c>
    </row>
    <row r="14" spans="1:14" x14ac:dyDescent="0.25">
      <c r="A14" s="5">
        <v>46066</v>
      </c>
      <c r="B14" s="18">
        <v>78.528000000000006</v>
      </c>
      <c r="C14" s="19">
        <v>3.2129999999999999E-5</v>
      </c>
      <c r="D14" s="18">
        <f>Sheet1!F15+Sheet1!R15+Sheet1!AD15+Sheet1!AP15+Sheet1!BB15+Sheet1!BN15+Sheet1!BZ15</f>
        <v>95394886.76539278</v>
      </c>
      <c r="E14" s="18">
        <f>Sheet1!G15+Sheet1!S15+Sheet1!AE15+Sheet1!AQ15+Sheet1!BC15+Sheet1!BO15+Sheet1!CA15</f>
        <v>240691.28143003711</v>
      </c>
      <c r="F14" s="18">
        <f>Sheet1!H15+Sheet1!T15+Sheet1!AF15+Sheet1!AR15+Sheet1!BD15+Sheet1!BP15+Sheet1!CB15</f>
        <v>95405928.403801084</v>
      </c>
      <c r="G14" s="18">
        <f>Sheet1!I15+Sheet1!U15+Sheet1!AG15+Sheet1!AS15+Sheet1!BE15+Sheet1!BQ15+Sheet1!CC15</f>
        <v>240719.14063913835</v>
      </c>
      <c r="H14" s="18">
        <f>Sheet1!J15+Sheet1!V15+Sheet1!AH15+Sheet1!AT15+Sheet1!BF15+Sheet1!BR15+Sheet1!CD15</f>
        <v>481410.42206917546</v>
      </c>
      <c r="I14" s="18">
        <f>Sheet1!K15+Sheet1!W15+Sheet1!AI15+Sheet1!AU15+Sheet1!BG15+Sheet1!BS15+Sheet1!CE15</f>
        <v>-11041.63840831886</v>
      </c>
      <c r="J14" s="18">
        <f>Sheet1!L15+Sheet1!X15+Sheet1!AJ15+Sheet1!AV15+Sheet1!BH15+Sheet1!BT15+Sheet1!CF15</f>
        <v>-27.859209101231542</v>
      </c>
      <c r="K14" s="18">
        <f>Sheet1!M15+Sheet1!Y15+Sheet1!AK15+Sheet1!AW15+Sheet1!BI15+Sheet1!BU15+Sheet1!CG15</f>
        <v>3001.3942789120001</v>
      </c>
      <c r="L14" s="18">
        <f>Sheet1!N15+Sheet1!Z15+Sheet1!AL15+Sheet1!AX15+Sheet1!BJ15+Sheet1!BV15+Sheet1!CH15</f>
        <v>3016.1856740719995</v>
      </c>
      <c r="M14" s="18">
        <f>Sheet1!O15+Sheet1!AA15+Sheet1!AM15+Sheet1!AY15+Sheet1!BK15+Sheet1!BW15+Sheet1!CI15</f>
        <v>-14.791395159999944</v>
      </c>
      <c r="N14" s="18">
        <v>16.295473659999999</v>
      </c>
    </row>
    <row r="15" spans="1:14" x14ac:dyDescent="0.25">
      <c r="A15" s="5">
        <v>46067</v>
      </c>
      <c r="B15" s="18">
        <v>88.064999999999998</v>
      </c>
      <c r="C15" s="19">
        <v>3.082E-5</v>
      </c>
      <c r="D15" s="18">
        <f>Sheet1!F16+Sheet1!R16+Sheet1!AD16+Sheet1!AP16+Sheet1!BB16+Sheet1!BN16+Sheet1!BZ16</f>
        <v>91570575.619443864</v>
      </c>
      <c r="E15" s="18">
        <f>Sheet1!G16+Sheet1!S16+Sheet1!AE16+Sheet1!AQ16+Sheet1!BC16+Sheet1!BO16+Sheet1!CA16</f>
        <v>248537.49570616928</v>
      </c>
      <c r="F15" s="18">
        <f>Sheet1!H16+Sheet1!T16+Sheet1!AF16+Sheet1!AR16+Sheet1!BD16+Sheet1!BP16+Sheet1!CB16</f>
        <v>91593718.061807111</v>
      </c>
      <c r="G15" s="18">
        <f>Sheet1!I16+Sheet1!U16+Sheet1!AG16+Sheet1!AS16+Sheet1!BE16+Sheet1!BQ16+Sheet1!CC16</f>
        <v>248600.30807390396</v>
      </c>
      <c r="H15" s="18">
        <f>Sheet1!J16+Sheet1!V16+Sheet1!AH16+Sheet1!AT16+Sheet1!BF16+Sheet1!BR16+Sheet1!CD16</f>
        <v>497137.8037800733</v>
      </c>
      <c r="I15" s="18">
        <f>Sheet1!K16+Sheet1!W16+Sheet1!AI16+Sheet1!AU16+Sheet1!BG16+Sheet1!BS16+Sheet1!CE16</f>
        <v>-23142.442363241687</v>
      </c>
      <c r="J15" s="18">
        <f>Sheet1!L16+Sheet1!X16+Sheet1!AJ16+Sheet1!AV16+Sheet1!BH16+Sheet1!BT16+Sheet1!CF16</f>
        <v>-62.81236773467586</v>
      </c>
      <c r="K15" s="18">
        <f>Sheet1!M16+Sheet1!Y16+Sheet1!AK16+Sheet1!AW16+Sheet1!BI16+Sheet1!BU16+Sheet1!CG16</f>
        <v>2815.9971666719998</v>
      </c>
      <c r="L15" s="18">
        <f>Sheet1!N16+Sheet1!Z16+Sheet1!AL16+Sheet1!AX16+Sheet1!BJ16+Sheet1!BV16+Sheet1!CH16</f>
        <v>2829.4617300939999</v>
      </c>
      <c r="M15" s="18">
        <f>Sheet1!O16+Sheet1!AA16+Sheet1!AM16+Sheet1!AY16+Sheet1!BK16+Sheet1!BW16+Sheet1!CI16</f>
        <v>-13.464563422000261</v>
      </c>
      <c r="N15" s="18">
        <v>19.117742939999999</v>
      </c>
    </row>
    <row r="16" spans="1:14" x14ac:dyDescent="0.25">
      <c r="A16" s="5">
        <v>46068</v>
      </c>
      <c r="B16" s="18">
        <v>88.733000000000004</v>
      </c>
      <c r="C16" s="19">
        <v>3.0069999999999998E-5</v>
      </c>
      <c r="D16" s="18">
        <f>Sheet1!F17+Sheet1!R17+Sheet1!AD17+Sheet1!AP17+Sheet1!BB17+Sheet1!BN17+Sheet1!BZ17</f>
        <v>92498223.633516356</v>
      </c>
      <c r="E16" s="18">
        <f>Sheet1!G17+Sheet1!S17+Sheet1!AE17+Sheet1!AQ17+Sheet1!BC17+Sheet1!BO17+Sheet1!CA17</f>
        <v>246803.88147162128</v>
      </c>
      <c r="F16" s="18">
        <f>Sheet1!H17+Sheet1!T17+Sheet1!AF17+Sheet1!AR17+Sheet1!BD17+Sheet1!BP17+Sheet1!CB17</f>
        <v>92494738.478035942</v>
      </c>
      <c r="G16" s="18">
        <f>Sheet1!I17+Sheet1!U17+Sheet1!AG17+Sheet1!AS17+Sheet1!BE17+Sheet1!BQ17+Sheet1!CC17</f>
        <v>246794.58237520285</v>
      </c>
      <c r="H16" s="18">
        <f>Sheet1!J17+Sheet1!V17+Sheet1!AH17+Sheet1!AT17+Sheet1!BF17+Sheet1!BR17+Sheet1!CD17</f>
        <v>493598.46384682425</v>
      </c>
      <c r="I16" s="18">
        <f>Sheet1!K17+Sheet1!W17+Sheet1!AI17+Sheet1!AU17+Sheet1!BG17+Sheet1!BS17+Sheet1!CE17</f>
        <v>3485.1554804258049</v>
      </c>
      <c r="J16" s="18">
        <f>Sheet1!L17+Sheet1!X17+Sheet1!AJ17+Sheet1!AV17+Sheet1!BH17+Sheet1!BT17+Sheet1!CF17</f>
        <v>9.2990964184258047</v>
      </c>
      <c r="K16" s="18">
        <f>Sheet1!M17+Sheet1!Y17+Sheet1!AK17+Sheet1!AW17+Sheet1!BI17+Sheet1!BU17+Sheet1!CG17</f>
        <v>2786.8188905520001</v>
      </c>
      <c r="L16" s="18">
        <f>Sheet1!N17+Sheet1!Z17+Sheet1!AL17+Sheet1!AX17+Sheet1!BJ17+Sheet1!BV17+Sheet1!CH17</f>
        <v>2800.9105625359998</v>
      </c>
      <c r="M16" s="18">
        <f>Sheet1!O17+Sheet1!AA17+Sheet1!AM17+Sheet1!AY17+Sheet1!BK17+Sheet1!BW17+Sheet1!CI17</f>
        <v>-14.091671983999987</v>
      </c>
      <c r="N16" s="18">
        <v>20.55661666</v>
      </c>
    </row>
    <row r="17" spans="1:14" x14ac:dyDescent="0.25">
      <c r="A17" s="5">
        <v>46069</v>
      </c>
      <c r="B17" s="18">
        <v>85.38</v>
      </c>
      <c r="C17" s="19">
        <v>3.0630000000000003E-5</v>
      </c>
      <c r="D17" s="18">
        <f>Sheet1!F18+Sheet1!R18+Sheet1!AD18+Sheet1!AP18+Sheet1!BB18+Sheet1!BN18+Sheet1!BZ18</f>
        <v>93906417.737601012</v>
      </c>
      <c r="E17" s="18">
        <f>Sheet1!G18+Sheet1!S18+Sheet1!AE18+Sheet1!AQ18+Sheet1!BC18+Sheet1!BO18+Sheet1!CA18</f>
        <v>245583.06825934615</v>
      </c>
      <c r="F17" s="18">
        <f>Sheet1!H18+Sheet1!T18+Sheet1!AF18+Sheet1!AR18+Sheet1!BD18+Sheet1!BP18+Sheet1!CB18</f>
        <v>93979521.68901594</v>
      </c>
      <c r="G17" s="18">
        <f>Sheet1!I18+Sheet1!U18+Sheet1!AG18+Sheet1!AS18+Sheet1!BE18+Sheet1!BQ18+Sheet1!CC18</f>
        <v>245774.24893818455</v>
      </c>
      <c r="H17" s="18">
        <f>Sheet1!J18+Sheet1!V18+Sheet1!AH18+Sheet1!AT18+Sheet1!BF18+Sheet1!BR18+Sheet1!CD18</f>
        <v>491357.31719753076</v>
      </c>
      <c r="I17" s="18">
        <f>Sheet1!K18+Sheet1!W18+Sheet1!AI18+Sheet1!AU18+Sheet1!BG18+Sheet1!BS18+Sheet1!CE18</f>
        <v>-73103.95141492039</v>
      </c>
      <c r="J17" s="18">
        <f>Sheet1!L18+Sheet1!X18+Sheet1!AJ18+Sheet1!AV18+Sheet1!BH18+Sheet1!BT18+Sheet1!CF18</f>
        <v>-191.18067883841479</v>
      </c>
      <c r="K17" s="18">
        <f>Sheet1!M18+Sheet1!Y18+Sheet1!AK18+Sheet1!AW18+Sheet1!BI18+Sheet1!BU18+Sheet1!CG18</f>
        <v>2876.58574322</v>
      </c>
      <c r="L17" s="18">
        <f>Sheet1!N18+Sheet1!Z18+Sheet1!AL18+Sheet1!AX18+Sheet1!BJ18+Sheet1!BV18+Sheet1!CH18</f>
        <v>2888.8151469020004</v>
      </c>
      <c r="M17" s="18">
        <f>Sheet1!O18+Sheet1!AA18+Sheet1!AM18+Sheet1!AY18+Sheet1!BK18+Sheet1!BW18+Sheet1!CI18</f>
        <v>-12.229403682000246</v>
      </c>
      <c r="N17" s="18">
        <v>21.578437189999999</v>
      </c>
    </row>
    <row r="18" spans="1:14" x14ac:dyDescent="0.25">
      <c r="A18" s="5">
        <v>46070</v>
      </c>
      <c r="B18" s="18">
        <v>86.171999999999997</v>
      </c>
      <c r="C18" s="19">
        <v>3.0090000000000002E-5</v>
      </c>
      <c r="D18" s="18">
        <f>Sheet1!F19+Sheet1!R19+Sheet1!AD19+Sheet1!AP19+Sheet1!BB19+Sheet1!BN19+Sheet1!BZ19</f>
        <v>94042180.442266256</v>
      </c>
      <c r="E18" s="18">
        <f>Sheet1!G19+Sheet1!S19+Sheet1!AE19+Sheet1!AQ19+Sheet1!BC19+Sheet1!BO19+Sheet1!CA19</f>
        <v>243843.42544170545</v>
      </c>
      <c r="F18" s="18">
        <f>Sheet1!H19+Sheet1!T19+Sheet1!AF19+Sheet1!AR19+Sheet1!BD19+Sheet1!BP19+Sheet1!CB19</f>
        <v>94076457.237242728</v>
      </c>
      <c r="G18" s="18">
        <f>Sheet1!I19+Sheet1!U19+Sheet1!AG19+Sheet1!AS19+Sheet1!BE19+Sheet1!BQ19+Sheet1!CC19</f>
        <v>243932.3022740047</v>
      </c>
      <c r="H18" s="18">
        <f>Sheet1!J19+Sheet1!V19+Sheet1!AH19+Sheet1!AT19+Sheet1!BF19+Sheet1!BR19+Sheet1!CD19</f>
        <v>487775.72771571018</v>
      </c>
      <c r="I18" s="18">
        <f>Sheet1!K19+Sheet1!W19+Sheet1!AI19+Sheet1!AU19+Sheet1!BG19+Sheet1!BS19+Sheet1!CE19</f>
        <v>-34276.794976468605</v>
      </c>
      <c r="J18" s="18">
        <f>Sheet1!L19+Sheet1!X19+Sheet1!AJ19+Sheet1!AV19+Sheet1!BH19+Sheet1!BT19+Sheet1!CF19</f>
        <v>-88.876832299271683</v>
      </c>
      <c r="K18" s="18">
        <f>Sheet1!M19+Sheet1!Y19+Sheet1!AK19+Sheet1!AW19+Sheet1!BI19+Sheet1!BU19+Sheet1!CG19</f>
        <v>2824.7627346790005</v>
      </c>
      <c r="L18" s="18">
        <f>Sheet1!N19+Sheet1!Z19+Sheet1!AL19+Sheet1!AX19+Sheet1!BJ19+Sheet1!BV19+Sheet1!CH19</f>
        <v>2837.9013287950002</v>
      </c>
      <c r="M18" s="18">
        <f>Sheet1!O19+Sheet1!AA19+Sheet1!AM19+Sheet1!AY19+Sheet1!BK19+Sheet1!BW19+Sheet1!CI19</f>
        <v>-13.138594115999778</v>
      </c>
      <c r="N18" s="18">
        <v>18.178835679999999</v>
      </c>
    </row>
    <row r="19" spans="1:14" x14ac:dyDescent="0.25">
      <c r="A19" s="5">
        <v>46071</v>
      </c>
      <c r="B19" s="18">
        <v>85.010999999999996</v>
      </c>
      <c r="C19" s="19">
        <v>3.021E-5</v>
      </c>
      <c r="D19" s="18">
        <f>Sheet1!F20+Sheet1!R20+Sheet1!AD20+Sheet1!AP20+Sheet1!BB20+Sheet1!BN20+Sheet1!BZ20</f>
        <v>93390244.328051805</v>
      </c>
      <c r="E19" s="18">
        <f>Sheet1!G20+Sheet1!S20+Sheet1!AE20+Sheet1!AQ20+Sheet1!BC20+Sheet1!BO20+Sheet1!CA20</f>
        <v>239843.17340988049</v>
      </c>
      <c r="F19" s="18">
        <f>Sheet1!H20+Sheet1!T20+Sheet1!AF20+Sheet1!AR20+Sheet1!BD20+Sheet1!BP20+Sheet1!CB20</f>
        <v>93349873.046700656</v>
      </c>
      <c r="G19" s="18">
        <f>Sheet1!I20+Sheet1!U20+Sheet1!AG20+Sheet1!AS20+Sheet1!BE20+Sheet1!BQ20+Sheet1!CC20</f>
        <v>239739.49259928247</v>
      </c>
      <c r="H19" s="18">
        <f>Sheet1!J20+Sheet1!V20+Sheet1!AH20+Sheet1!AT20+Sheet1!BF20+Sheet1!BR20+Sheet1!CD20</f>
        <v>479582.66600916296</v>
      </c>
      <c r="I19" s="18">
        <f>Sheet1!K20+Sheet1!W20+Sheet1!AI20+Sheet1!AU20+Sheet1!BG20+Sheet1!BS20+Sheet1!CE20</f>
        <v>40371.281351125886</v>
      </c>
      <c r="J19" s="18">
        <f>Sheet1!L20+Sheet1!X20+Sheet1!AJ20+Sheet1!AV20+Sheet1!BH20+Sheet1!BT20+Sheet1!CF20</f>
        <v>103.68081059799437</v>
      </c>
      <c r="K19" s="18">
        <f>Sheet1!M20+Sheet1!Y20+Sheet1!AK20+Sheet1!AW20+Sheet1!BI20+Sheet1!BU20+Sheet1!CG20</f>
        <v>2853.7792745360002</v>
      </c>
      <c r="L19" s="18">
        <f>Sheet1!N20+Sheet1!Z20+Sheet1!AL20+Sheet1!AX20+Sheet1!BJ20+Sheet1!BV20+Sheet1!CH20</f>
        <v>2869.323633516</v>
      </c>
      <c r="M19" s="18">
        <f>Sheet1!O20+Sheet1!AA20+Sheet1!AM20+Sheet1!AY20+Sheet1!BK20+Sheet1!BW20+Sheet1!CI20</f>
        <v>-15.544358979999993</v>
      </c>
      <c r="N19" s="18">
        <v>15.469656820000001</v>
      </c>
    </row>
    <row r="20" spans="1:14" x14ac:dyDescent="0.25">
      <c r="A20" s="5">
        <v>46072</v>
      </c>
      <c r="B20" s="18">
        <v>81.634</v>
      </c>
      <c r="C20" s="19">
        <v>3.1000000000000001E-5</v>
      </c>
      <c r="D20" s="18">
        <f>Sheet1!F21+Sheet1!R21+Sheet1!AD21+Sheet1!AP21+Sheet1!BB21+Sheet1!BN21+Sheet1!BZ21</f>
        <v>77273245.798720866</v>
      </c>
      <c r="E20" s="18">
        <f>Sheet1!G21+Sheet1!S21+Sheet1!AE21+Sheet1!AQ21+Sheet1!BC21+Sheet1!BO21+Sheet1!CA21</f>
        <v>195551.84857351612</v>
      </c>
      <c r="F20" s="18">
        <f>Sheet1!H21+Sheet1!T21+Sheet1!AF21+Sheet1!AR21+Sheet1!BD21+Sheet1!BP21+Sheet1!CB21</f>
        <v>77291824.742915079</v>
      </c>
      <c r="G20" s="18">
        <f>Sheet1!I21+Sheet1!U21+Sheet1!AG21+Sheet1!AS21+Sheet1!BE21+Sheet1!BQ21+Sheet1!CC21</f>
        <v>195598.86545295705</v>
      </c>
      <c r="H20" s="18">
        <f>Sheet1!J21+Sheet1!V21+Sheet1!AH21+Sheet1!AT21+Sheet1!BF21+Sheet1!BR21+Sheet1!CD21</f>
        <v>391150.71402647317</v>
      </c>
      <c r="I20" s="18">
        <f>Sheet1!K21+Sheet1!W21+Sheet1!AI21+Sheet1!AU21+Sheet1!BG21+Sheet1!BS21+Sheet1!CE21</f>
        <v>-18578.944194226991</v>
      </c>
      <c r="J20" s="18">
        <f>Sheet1!L21+Sheet1!X21+Sheet1!AJ21+Sheet1!AV21+Sheet1!BH21+Sheet1!BT21+Sheet1!CF21</f>
        <v>-47.016879440897327</v>
      </c>
      <c r="K20" s="18">
        <f>Sheet1!M21+Sheet1!Y21+Sheet1!AK21+Sheet1!AW21+Sheet1!BI21+Sheet1!BU21+Sheet1!CG21</f>
        <v>2391.2851298550004</v>
      </c>
      <c r="L20" s="18">
        <f>Sheet1!N21+Sheet1!Z21+Sheet1!AL21+Sheet1!AX21+Sheet1!BJ21+Sheet1!BV21+Sheet1!CH21</f>
        <v>2402.7239431450002</v>
      </c>
      <c r="M20" s="18">
        <f>Sheet1!O21+Sheet1!AA21+Sheet1!AM21+Sheet1!AY21+Sheet1!BK21+Sheet1!BW21+Sheet1!CI21</f>
        <v>-11.438813290000041</v>
      </c>
      <c r="N20" s="18">
        <v>13.42781175</v>
      </c>
    </row>
    <row r="21" spans="1:14" x14ac:dyDescent="0.25">
      <c r="A21" s="5">
        <v>46073</v>
      </c>
      <c r="B21" s="18">
        <v>84.402000000000001</v>
      </c>
      <c r="C21" s="19">
        <v>3.0800000000000003E-5</v>
      </c>
      <c r="D21" s="18">
        <f>Sheet1!F22+Sheet1!R22+Sheet1!AD22+Sheet1!AP22+Sheet1!BB22+Sheet1!BN22+Sheet1!BZ22</f>
        <v>128591725.17744318</v>
      </c>
      <c r="E21" s="18">
        <f>Sheet1!G22+Sheet1!S22+Sheet1!AE22+Sheet1!AQ22+Sheet1!BC22+Sheet1!BO22+Sheet1!CA22</f>
        <v>334284.68268353806</v>
      </c>
      <c r="F21" s="18">
        <f>Sheet1!H22+Sheet1!T22+Sheet1!AF22+Sheet1!AR22+Sheet1!BD22+Sheet1!BP22+Sheet1!CB22</f>
        <v>128532082.69738315</v>
      </c>
      <c r="G21" s="18">
        <f>Sheet1!I22+Sheet1!U22+Sheet1!AG22+Sheet1!AS22+Sheet1!BE22+Sheet1!BQ22+Sheet1!CC22</f>
        <v>334129.63718979561</v>
      </c>
      <c r="H21" s="18">
        <f>Sheet1!J22+Sheet1!V22+Sheet1!AH22+Sheet1!AT22+Sheet1!BF22+Sheet1!BR22+Sheet1!CD22</f>
        <v>668414.31987333368</v>
      </c>
      <c r="I21" s="18">
        <f>Sheet1!K22+Sheet1!W22+Sheet1!AI22+Sheet1!AU22+Sheet1!BG22+Sheet1!BS22+Sheet1!CE22</f>
        <v>59642.480060024594</v>
      </c>
      <c r="J21" s="18">
        <f>Sheet1!L22+Sheet1!X22+Sheet1!AJ22+Sheet1!AV22+Sheet1!BH22+Sheet1!BT22+Sheet1!CF22</f>
        <v>155.04549374240685</v>
      </c>
      <c r="K21" s="18">
        <f>Sheet1!M22+Sheet1!Y22+Sheet1!AK22+Sheet1!AW22+Sheet1!BI22+Sheet1!BU22+Sheet1!CG22</f>
        <v>3936.0934496850005</v>
      </c>
      <c r="L21" s="18">
        <f>Sheet1!N22+Sheet1!Z22+Sheet1!AL22+Sheet1!AX22+Sheet1!BJ22+Sheet1!BV22+Sheet1!CH22</f>
        <v>3957.7093502730004</v>
      </c>
      <c r="M21" s="18">
        <f>Sheet1!O22+Sheet1!AA22+Sheet1!AM22+Sheet1!AY22+Sheet1!BK22+Sheet1!BW22+Sheet1!CI22</f>
        <v>-21.615900588000034</v>
      </c>
      <c r="N21" s="18">
        <v>9.3743579159999992</v>
      </c>
    </row>
    <row r="22" spans="1:14" x14ac:dyDescent="0.25">
      <c r="A22" s="5">
        <v>46074</v>
      </c>
      <c r="B22" s="18">
        <v>84.384</v>
      </c>
      <c r="C22" s="19">
        <v>3.0490000000000001E-5</v>
      </c>
      <c r="D22" s="18">
        <f>Sheet1!F23+Sheet1!R23+Sheet1!AD23+Sheet1!AP23+Sheet1!BB23+Sheet1!BN23+Sheet1!BZ23</f>
        <v>94048761.941861629</v>
      </c>
      <c r="E22" s="18">
        <f>Sheet1!G23+Sheet1!S23+Sheet1!AE23+Sheet1!AQ23+Sheet1!BC23+Sheet1!BO23+Sheet1!CA23</f>
        <v>241975.06508763556</v>
      </c>
      <c r="F22" s="18">
        <f>Sheet1!H23+Sheet1!T23+Sheet1!AF23+Sheet1!AR23+Sheet1!BD23+Sheet1!BP23+Sheet1!CB23</f>
        <v>94005240.16474393</v>
      </c>
      <c r="G22" s="18">
        <f>Sheet1!I23+Sheet1!U23+Sheet1!AG23+Sheet1!AS23+Sheet1!BE23+Sheet1!BQ23+Sheet1!CC23</f>
        <v>241863.08929302281</v>
      </c>
      <c r="H22" s="18">
        <f>Sheet1!J23+Sheet1!V23+Sheet1!AH23+Sheet1!AT23+Sheet1!BF23+Sheet1!BR23+Sheet1!CD23</f>
        <v>483838.15438065841</v>
      </c>
      <c r="I22" s="18">
        <f>Sheet1!K23+Sheet1!W23+Sheet1!AI23+Sheet1!AU23+Sheet1!BG23+Sheet1!BS23+Sheet1!CE23</f>
        <v>43521.777117701015</v>
      </c>
      <c r="J22" s="18">
        <f>Sheet1!L23+Sheet1!X23+Sheet1!AJ23+Sheet1!AV23+Sheet1!BH23+Sheet1!BT23+Sheet1!CF23</f>
        <v>111.97579461274951</v>
      </c>
      <c r="K22" s="18">
        <f>Sheet1!M23+Sheet1!Y23+Sheet1!AK23+Sheet1!AW23+Sheet1!BI23+Sheet1!BU23+Sheet1!CG23</f>
        <v>2846.6954834899998</v>
      </c>
      <c r="L22" s="18">
        <f>Sheet1!N23+Sheet1!Z23+Sheet1!AL23+Sheet1!AX23+Sheet1!BJ23+Sheet1!BV23+Sheet1!CH23</f>
        <v>2862.3027075980003</v>
      </c>
      <c r="M22" s="18">
        <f>Sheet1!O23+Sheet1!AA23+Sheet1!AM23+Sheet1!AY23+Sheet1!BK23+Sheet1!BW23+Sheet1!CI23</f>
        <v>-15.607224108000118</v>
      </c>
      <c r="N22" s="18">
        <v>12.372373639999999</v>
      </c>
    </row>
    <row r="23" spans="1:14" x14ac:dyDescent="0.25">
      <c r="A23" s="5">
        <v>46075</v>
      </c>
      <c r="B23" s="18">
        <v>82.754000000000005</v>
      </c>
      <c r="C23" s="19">
        <v>3.0429999999999998E-5</v>
      </c>
      <c r="D23" s="18">
        <f>Sheet1!F24+Sheet1!R24+Sheet1!AD24+Sheet1!AP24+Sheet1!BB24+Sheet1!BN24+Sheet1!BZ24</f>
        <v>96368669.510794729</v>
      </c>
      <c r="E23" s="18">
        <f>Sheet1!G24+Sheet1!S24+Sheet1!AE24+Sheet1!AQ24+Sheet1!BC24+Sheet1!BO24+Sheet1!CA24</f>
        <v>242675.99023786857</v>
      </c>
      <c r="F23" s="18">
        <f>Sheet1!H24+Sheet1!T24+Sheet1!AF24+Sheet1!AR24+Sheet1!BD24+Sheet1!BP24+Sheet1!CB24</f>
        <v>96481321.216182053</v>
      </c>
      <c r="G23" s="18">
        <f>Sheet1!I24+Sheet1!U24+Sheet1!AG24+Sheet1!AS24+Sheet1!BE24+Sheet1!BQ24+Sheet1!CC24</f>
        <v>242959.67023776518</v>
      </c>
      <c r="H23" s="18">
        <f>Sheet1!J24+Sheet1!V24+Sheet1!AH24+Sheet1!AT24+Sheet1!BF24+Sheet1!BR24+Sheet1!CD24</f>
        <v>485635.66047563375</v>
      </c>
      <c r="I23" s="18">
        <f>Sheet1!K24+Sheet1!W24+Sheet1!AI24+Sheet1!AU24+Sheet1!BG24+Sheet1!BS24+Sheet1!CE24</f>
        <v>-112651.70538732316</v>
      </c>
      <c r="J23" s="18">
        <f>Sheet1!L24+Sheet1!X24+Sheet1!AJ24+Sheet1!AV24+Sheet1!BH24+Sheet1!BT24+Sheet1!CF24</f>
        <v>-283.67999989655397</v>
      </c>
      <c r="K23" s="18">
        <f>Sheet1!M24+Sheet1!Y24+Sheet1!AK24+Sheet1!AW24+Sheet1!BI24+Sheet1!BU24+Sheet1!CG24</f>
        <v>2921.2122586959999</v>
      </c>
      <c r="L23" s="18">
        <f>Sheet1!N24+Sheet1!Z24+Sheet1!AL24+Sheet1!AX24+Sheet1!BJ24+Sheet1!BV24+Sheet1!CH24</f>
        <v>2932.4479392870003</v>
      </c>
      <c r="M23" s="18">
        <f>Sheet1!O24+Sheet1!AA24+Sheet1!AM24+Sheet1!AY24+Sheet1!BK24+Sheet1!BW24+Sheet1!CI24</f>
        <v>-11.235680591000104</v>
      </c>
      <c r="N23" s="18">
        <v>13.12955556</v>
      </c>
    </row>
    <row r="24" spans="1:14" x14ac:dyDescent="0.25">
      <c r="A24" s="5">
        <v>46076</v>
      </c>
      <c r="B24" s="18">
        <v>77.891999999999996</v>
      </c>
      <c r="C24" s="19">
        <v>3.1359999999999998E-5</v>
      </c>
      <c r="D24" s="18">
        <f>Sheet1!F25+Sheet1!R25+Sheet1!AD25+Sheet1!AP25+Sheet1!BB25+Sheet1!BN25+Sheet1!BZ25</f>
        <v>85312091.924847811</v>
      </c>
      <c r="E24" s="18">
        <f>Sheet1!G25+Sheet1!S25+Sheet1!AE25+Sheet1!AQ25+Sheet1!BC25+Sheet1!BO25+Sheet1!CA25</f>
        <v>208391.25999763331</v>
      </c>
      <c r="F24" s="18">
        <f>Sheet1!H25+Sheet1!T25+Sheet1!AF25+Sheet1!AR25+Sheet1!BD25+Sheet1!BP25+Sheet1!CB25</f>
        <v>85271698.415950865</v>
      </c>
      <c r="G24" s="18">
        <f>Sheet1!I25+Sheet1!U25+Sheet1!AG25+Sheet1!AS25+Sheet1!BE25+Sheet1!BQ25+Sheet1!CC25</f>
        <v>208292.59105135806</v>
      </c>
      <c r="H24" s="18">
        <f>Sheet1!J25+Sheet1!V25+Sheet1!AH25+Sheet1!AT25+Sheet1!BF25+Sheet1!BR25+Sheet1!CD25</f>
        <v>416683.85104899143</v>
      </c>
      <c r="I24" s="18">
        <f>Sheet1!K25+Sheet1!W25+Sheet1!AI25+Sheet1!AU25+Sheet1!BG25+Sheet1!BS25+Sheet1!CE25</f>
        <v>40393.508896952961</v>
      </c>
      <c r="J24" s="18">
        <f>Sheet1!L25+Sheet1!X25+Sheet1!AJ25+Sheet1!AV25+Sheet1!BH25+Sheet1!BT25+Sheet1!CF25</f>
        <v>98.668946275245759</v>
      </c>
      <c r="K24" s="18">
        <f>Sheet1!M25+Sheet1!Y25+Sheet1!AK25+Sheet1!AW25+Sheet1!BI25+Sheet1!BU25+Sheet1!CG25</f>
        <v>2691.9137560499998</v>
      </c>
      <c r="L24" s="18">
        <f>Sheet1!N25+Sheet1!Z25+Sheet1!AL25+Sheet1!AX25+Sheet1!BJ25+Sheet1!BV25+Sheet1!CH25</f>
        <v>2706.7039481940001</v>
      </c>
      <c r="M24" s="18">
        <f>Sheet1!O25+Sheet1!AA25+Sheet1!AM25+Sheet1!AY25+Sheet1!BK25+Sheet1!BW25+Sheet1!CI25</f>
        <v>-14.79019214400023</v>
      </c>
      <c r="N24" s="18">
        <v>15.584233279999999</v>
      </c>
    </row>
    <row r="25" spans="1:14" x14ac:dyDescent="0.25">
      <c r="A25" s="5">
        <v>46077</v>
      </c>
      <c r="B25" s="18">
        <v>78.984999999999999</v>
      </c>
      <c r="C25" s="19">
        <v>3.1940000000000003E-5</v>
      </c>
      <c r="D25" s="18">
        <f>Sheet1!F26+Sheet1!R26+Sheet1!AD26+Sheet1!AP26+Sheet1!BB26+Sheet1!BN26+Sheet1!BZ26</f>
        <v>83149386.171649918</v>
      </c>
      <c r="E25" s="18">
        <f>Sheet1!G26+Sheet1!S26+Sheet1!AE26+Sheet1!AQ26+Sheet1!BC26+Sheet1!BO26+Sheet1!CA26</f>
        <v>209767.68328056257</v>
      </c>
      <c r="F25" s="18">
        <f>Sheet1!H26+Sheet1!T26+Sheet1!AF26+Sheet1!AR26+Sheet1!BD26+Sheet1!BP26+Sheet1!CB26</f>
        <v>83030053.704210877</v>
      </c>
      <c r="G25" s="18">
        <f>Sheet1!I26+Sheet1!U26+Sheet1!AG26+Sheet1!AS26+Sheet1!BE26+Sheet1!BQ26+Sheet1!CC26</f>
        <v>209466.63361095748</v>
      </c>
      <c r="H25" s="18">
        <f>Sheet1!J26+Sheet1!V26+Sheet1!AH26+Sheet1!AT26+Sheet1!BF26+Sheet1!BR26+Sheet1!CD26</f>
        <v>419234.31689152005</v>
      </c>
      <c r="I25" s="18">
        <f>Sheet1!K26+Sheet1!W26+Sheet1!AI26+Sheet1!AU26+Sheet1!BG26+Sheet1!BS26+Sheet1!CE26</f>
        <v>119332.46743903402</v>
      </c>
      <c r="J25" s="18">
        <f>Sheet1!L26+Sheet1!X26+Sheet1!AJ26+Sheet1!AV26+Sheet1!BH26+Sheet1!BT26+Sheet1!CF26</f>
        <v>301.04966960506698</v>
      </c>
      <c r="K25" s="18">
        <f>Sheet1!M26+Sheet1!Y26+Sheet1!AK26+Sheet1!AW26+Sheet1!BI26+Sheet1!BU26+Sheet1!CG26</f>
        <v>2649.8519049259999</v>
      </c>
      <c r="L25" s="18">
        <f>Sheet1!N26+Sheet1!Z26+Sheet1!AL26+Sheet1!AX26+Sheet1!BJ26+Sheet1!BV26+Sheet1!CH26</f>
        <v>2666.9534474390002</v>
      </c>
      <c r="M25" s="18">
        <f>Sheet1!O26+Sheet1!AA26+Sheet1!AM26+Sheet1!AY26+Sheet1!BK26+Sheet1!BW26+Sheet1!CI26</f>
        <v>-17.101542512999927</v>
      </c>
      <c r="N25" s="18">
        <v>13.83322974</v>
      </c>
    </row>
    <row r="26" spans="1:14" x14ac:dyDescent="0.25">
      <c r="A26" s="5">
        <v>46078</v>
      </c>
      <c r="B26" s="18">
        <v>87.963999999999999</v>
      </c>
      <c r="C26" s="19">
        <v>3.0880000000000002E-5</v>
      </c>
      <c r="D26" s="18">
        <f>Sheet1!F27+Sheet1!R27+Sheet1!AD27+Sheet1!AP27+Sheet1!BB27+Sheet1!BN27+Sheet1!BZ27</f>
        <v>78284458.611494526</v>
      </c>
      <c r="E26" s="18">
        <f>Sheet1!G27+Sheet1!S27+Sheet1!AE27+Sheet1!AQ27+Sheet1!BC27+Sheet1!BO27+Sheet1!CA27</f>
        <v>212646.29194227041</v>
      </c>
      <c r="F26" s="18">
        <f>Sheet1!H27+Sheet1!T27+Sheet1!AF27+Sheet1!AR27+Sheet1!BD27+Sheet1!BP27+Sheet1!CB27</f>
        <v>78361315.883297071</v>
      </c>
      <c r="G26" s="18">
        <f>Sheet1!I27+Sheet1!U27+Sheet1!AG27+Sheet1!AS27+Sheet1!BE27+Sheet1!BQ27+Sheet1!CC27</f>
        <v>212855.06152626564</v>
      </c>
      <c r="H26" s="18">
        <f>Sheet1!J27+Sheet1!V27+Sheet1!AH27+Sheet1!AT27+Sheet1!BF27+Sheet1!BR27+Sheet1!CD27</f>
        <v>425501.35346853605</v>
      </c>
      <c r="I26" s="18">
        <f>Sheet1!K27+Sheet1!W27+Sheet1!AI27+Sheet1!AU27+Sheet1!BG27+Sheet1!BS27+Sheet1!CE27</f>
        <v>-76857.271802546631</v>
      </c>
      <c r="J26" s="18">
        <f>Sheet1!L27+Sheet1!X27+Sheet1!AJ27+Sheet1!AV27+Sheet1!BH27+Sheet1!BT27+Sheet1!CF27</f>
        <v>-208.76958399519486</v>
      </c>
      <c r="K26" s="18">
        <f>Sheet1!M27+Sheet1!Y27+Sheet1!AK27+Sheet1!AW27+Sheet1!BI27+Sheet1!BU27+Sheet1!CG27</f>
        <v>2391.2725625640001</v>
      </c>
      <c r="L26" s="18">
        <f>Sheet1!N27+Sheet1!Z27+Sheet1!AL27+Sheet1!AX27+Sheet1!BJ27+Sheet1!BV27+Sheet1!CH27</f>
        <v>2400.83223813</v>
      </c>
      <c r="M26" s="18">
        <f>Sheet1!O27+Sheet1!AA27+Sheet1!AM27+Sheet1!AY27+Sheet1!BK27+Sheet1!BW27+Sheet1!CI27</f>
        <v>-9.5596755660000667</v>
      </c>
      <c r="N26" s="18">
        <v>12.5212156</v>
      </c>
    </row>
    <row r="27" spans="1:14" x14ac:dyDescent="0.25">
      <c r="A27" s="5">
        <v>46079</v>
      </c>
      <c r="B27" s="18">
        <v>85.881</v>
      </c>
      <c r="C27" s="19">
        <v>2.993E-5</v>
      </c>
      <c r="D27" s="18">
        <f>Sheet1!F28+Sheet1!R28+Sheet1!AD28+Sheet1!AP28+Sheet1!BB28+Sheet1!BN28+Sheet1!BZ28</f>
        <v>74727768.636090383</v>
      </c>
      <c r="E27" s="18">
        <f>Sheet1!G28+Sheet1!S28+Sheet1!AE28+Sheet1!AQ28+Sheet1!BC28+Sheet1!BO28+Sheet1!CA28</f>
        <v>192081.6262622058</v>
      </c>
      <c r="F27" s="18">
        <f>Sheet1!H28+Sheet1!T28+Sheet1!AF28+Sheet1!AR28+Sheet1!BD28+Sheet1!BP28+Sheet1!CB28</f>
        <v>74822281.213869795</v>
      </c>
      <c r="G27" s="18">
        <f>Sheet1!I28+Sheet1!U28+Sheet1!AG28+Sheet1!AS28+Sheet1!BE28+Sheet1!BQ28+Sheet1!CC28</f>
        <v>192324.56312454556</v>
      </c>
      <c r="H27" s="18">
        <f>Sheet1!J28+Sheet1!V28+Sheet1!AH28+Sheet1!AT28+Sheet1!BF28+Sheet1!BR28+Sheet1!CD28</f>
        <v>384406.18938675133</v>
      </c>
      <c r="I27" s="18">
        <f>Sheet1!K28+Sheet1!W28+Sheet1!AI28+Sheet1!AU28+Sheet1!BG28+Sheet1!BS28+Sheet1!CE28</f>
        <v>-94512.577779414918</v>
      </c>
      <c r="J27" s="18">
        <f>Sheet1!L28+Sheet1!X28+Sheet1!AJ28+Sheet1!AV28+Sheet1!BH28+Sheet1!BT28+Sheet1!CF28</f>
        <v>-242.93686233975879</v>
      </c>
      <c r="K27" s="18">
        <f>Sheet1!M28+Sheet1!Y28+Sheet1!AK28+Sheet1!AW28+Sheet1!BI28+Sheet1!BU28+Sheet1!CG28</f>
        <v>2245.184170044</v>
      </c>
      <c r="L27" s="18">
        <f>Sheet1!N28+Sheet1!Z28+Sheet1!AL28+Sheet1!AX28+Sheet1!BJ28+Sheet1!BV28+Sheet1!CH28</f>
        <v>2253.5868919129998</v>
      </c>
      <c r="M27" s="18">
        <f>Sheet1!O28+Sheet1!AA28+Sheet1!AM28+Sheet1!AY28+Sheet1!BK28+Sheet1!BW28+Sheet1!CI28</f>
        <v>-8.4027218689999366</v>
      </c>
      <c r="N27" s="18">
        <v>12.68625604</v>
      </c>
    </row>
    <row r="28" spans="1:14" x14ac:dyDescent="0.25">
      <c r="A28" s="5">
        <v>46080</v>
      </c>
      <c r="B28" s="18">
        <v>81.870999999999995</v>
      </c>
      <c r="C28" s="19">
        <v>3.0559999999999999E-5</v>
      </c>
      <c r="D28" s="18">
        <f>Sheet1!F29+Sheet1!R29+Sheet1!AD29+Sheet1!AP29+Sheet1!BB29+Sheet1!BN29+Sheet1!BZ29</f>
        <v>77327954.37024492</v>
      </c>
      <c r="E28" s="18">
        <f>Sheet1!G29+Sheet1!S29+Sheet1!AE29+Sheet1!AQ29+Sheet1!BC29+Sheet1!BO29+Sheet1!CA29</f>
        <v>193472.82206064757</v>
      </c>
      <c r="F28" s="18">
        <f>Sheet1!H29+Sheet1!T29+Sheet1!AF29+Sheet1!AR29+Sheet1!BD29+Sheet1!BP29+Sheet1!CB29</f>
        <v>77275079.147773921</v>
      </c>
      <c r="G28" s="18">
        <f>Sheet1!I29+Sheet1!U29+Sheet1!AG29+Sheet1!AS29+Sheet1!BE29+Sheet1!BQ29+Sheet1!CC29</f>
        <v>193340.52942997008</v>
      </c>
      <c r="H28" s="18">
        <f>Sheet1!J29+Sheet1!V29+Sheet1!AH29+Sheet1!AT29+Sheet1!BF29+Sheet1!BR29+Sheet1!CD29</f>
        <v>386813.35149061761</v>
      </c>
      <c r="I28" s="18">
        <f>Sheet1!K29+Sheet1!W29+Sheet1!AI29+Sheet1!AU29+Sheet1!BG29+Sheet1!BS29+Sheet1!CE29</f>
        <v>52875.222471008077</v>
      </c>
      <c r="J28" s="18">
        <f>Sheet1!L29+Sheet1!X29+Sheet1!AJ29+Sheet1!AV29+Sheet1!BH29+Sheet1!BT29+Sheet1!CF29</f>
        <v>132.29263067751447</v>
      </c>
      <c r="K28" s="18">
        <f>Sheet1!M29+Sheet1!Y29+Sheet1!AK29+Sheet1!AW29+Sheet1!BI29+Sheet1!BU29+Sheet1!CG29</f>
        <v>2359.1684806220001</v>
      </c>
      <c r="L28" s="18">
        <f>Sheet1!N29+Sheet1!Z29+Sheet1!AL29+Sheet1!AX29+Sheet1!BJ29+Sheet1!BV29+Sheet1!CH29</f>
        <v>2372.6597244949999</v>
      </c>
      <c r="M28" s="18">
        <f>Sheet1!O29+Sheet1!AA29+Sheet1!AM29+Sheet1!AY29+Sheet1!BK29+Sheet1!BW29+Sheet1!CI29</f>
        <v>-13.491243872999576</v>
      </c>
      <c r="N28" s="18">
        <v>11.82139083</v>
      </c>
    </row>
    <row r="29" spans="1:14" x14ac:dyDescent="0.25">
      <c r="A29" s="5">
        <v>46081</v>
      </c>
      <c r="B29" s="18">
        <v>84.340999999999994</v>
      </c>
      <c r="C29" s="19">
        <v>3.1199999999999999E-5</v>
      </c>
      <c r="D29" s="18">
        <f>Sheet1!F30+Sheet1!R30+Sheet1!AD30+Sheet1!AP30+Sheet1!BB30+Sheet1!BN30+Sheet1!BZ30</f>
        <v>75922414.269396439</v>
      </c>
      <c r="E29" s="18">
        <f>Sheet1!G30+Sheet1!S30+Sheet1!AE30+Sheet1!AQ30+Sheet1!BC30+Sheet1!BO30+Sheet1!CA30</f>
        <v>199785.21706712912</v>
      </c>
      <c r="F29" s="18">
        <f>Sheet1!H30+Sheet1!T30+Sheet1!AF30+Sheet1!AR30+Sheet1!BD30+Sheet1!BP30+Sheet1!CB30</f>
        <v>75953447.105957985</v>
      </c>
      <c r="G29" s="18">
        <f>Sheet1!I30+Sheet1!U30+Sheet1!AG30+Sheet1!AS30+Sheet1!BE30+Sheet1!BQ30+Sheet1!CC30</f>
        <v>199866.87808974436</v>
      </c>
      <c r="H29" s="18">
        <f>Sheet1!J30+Sheet1!V30+Sheet1!AH30+Sheet1!AT30+Sheet1!BF30+Sheet1!BR30+Sheet1!CD30</f>
        <v>399652.09515687346</v>
      </c>
      <c r="I29" s="18">
        <f>Sheet1!K30+Sheet1!W30+Sheet1!AI30+Sheet1!AU30+Sheet1!BG30+Sheet1!BS30+Sheet1!CE30</f>
        <v>-31032.836561540142</v>
      </c>
      <c r="J29" s="18">
        <f>Sheet1!L30+Sheet1!X30+Sheet1!AJ30+Sheet1!AV30+Sheet1!BH30+Sheet1!BT30+Sheet1!CF30</f>
        <v>-81.661022615229925</v>
      </c>
      <c r="K29" s="18">
        <f>Sheet1!M30+Sheet1!Y30+Sheet1!AK30+Sheet1!AW30+Sheet1!BI30+Sheet1!BU30+Sheet1!CG30</f>
        <v>2364.3060295519999</v>
      </c>
      <c r="L29" s="18">
        <f>Sheet1!N30+Sheet1!Z30+Sheet1!AL30+Sheet1!AX30+Sheet1!BJ30+Sheet1!BV30+Sheet1!CH30</f>
        <v>2375.2544518949999</v>
      </c>
      <c r="M29" s="18">
        <f>Sheet1!O30+Sheet1!AA30+Sheet1!AM30+Sheet1!AY30+Sheet1!BK30+Sheet1!BW30+Sheet1!CI30</f>
        <v>-10.948422343000004</v>
      </c>
      <c r="N29" s="18">
        <v>11.2716718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TOTAL MM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akshay kollimarla</dc:creator>
  <cp:lastModifiedBy>RUPA KIRNAPALLY</cp:lastModifiedBy>
  <dcterms:created xsi:type="dcterms:W3CDTF">2026-02-02T09:45:57Z</dcterms:created>
  <dcterms:modified xsi:type="dcterms:W3CDTF">2026-03-16T10:36:25Z</dcterms:modified>
</cp:coreProperties>
</file>