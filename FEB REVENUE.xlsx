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tring-data/OFFICE-NEW/kling/defi and lending/trades/idlemine/JAN,FEB,MAR REVENUE/FEBRUARY REVENUE/"/>
    </mc:Choice>
  </mc:AlternateContent>
  <xr:revisionPtr revIDLastSave="0" documentId="13_ncr:1_{51232905-EE45-C042-8A1E-0719E9DD82AD}" xr6:coauthVersionLast="47" xr6:coauthVersionMax="47" xr10:uidLastSave="{00000000-0000-0000-0000-000000000000}"/>
  <bookViews>
    <workbookView xWindow="0" yWindow="660" windowWidth="28800" windowHeight="16120" activeTab="1" xr2:uid="{00000000-000D-0000-FFFF-FFFF00000000}"/>
  </bookViews>
  <sheets>
    <sheet name="total MM" sheetId="5" r:id="rId1"/>
    <sheet name="MM volume and PL walletwi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BH20" i="4" l="1"/>
  <c r="BF20" i="4"/>
  <c r="DN8" i="4" l="1"/>
  <c r="CB8" i="4" l="1"/>
  <c r="GT13" i="4" l="1"/>
  <c r="GR3" i="4"/>
  <c r="GT3" i="4"/>
  <c r="T3" i="4" l="1"/>
  <c r="OM13" i="4" l="1"/>
  <c r="JW4" i="4" l="1"/>
  <c r="JW5" i="4"/>
  <c r="JW6" i="4"/>
  <c r="JW7" i="4"/>
  <c r="JW8" i="4"/>
  <c r="JW9" i="4"/>
  <c r="JW10" i="4"/>
  <c r="JW11" i="4"/>
  <c r="JW12" i="4"/>
  <c r="JW13" i="4"/>
  <c r="JW14" i="4"/>
  <c r="JW15" i="4"/>
  <c r="JW16" i="4"/>
  <c r="JW17" i="4"/>
  <c r="JW18" i="4"/>
  <c r="JW19" i="4"/>
  <c r="JW20" i="4"/>
  <c r="JW21" i="4"/>
  <c r="JW22" i="4"/>
  <c r="JW23" i="4"/>
  <c r="JW24" i="4"/>
  <c r="JW25" i="4"/>
  <c r="JW26" i="4"/>
  <c r="JW27" i="4"/>
  <c r="JW28" i="4"/>
  <c r="JW29" i="4"/>
  <c r="JW30" i="4"/>
  <c r="HC7" i="4"/>
  <c r="HC4" i="4"/>
  <c r="HC3" i="4"/>
  <c r="GH4" i="4"/>
  <c r="GH5" i="4"/>
  <c r="GH6" i="4"/>
  <c r="GH7" i="4"/>
  <c r="GH8" i="4"/>
  <c r="GH9" i="4"/>
  <c r="GH10" i="4"/>
  <c r="GH11" i="4"/>
  <c r="GH12" i="4"/>
  <c r="GH13" i="4"/>
  <c r="GH14" i="4"/>
  <c r="GH15" i="4"/>
  <c r="GH16" i="4"/>
  <c r="GH17" i="4"/>
  <c r="GH18" i="4"/>
  <c r="GH19" i="4"/>
  <c r="GH20" i="4"/>
  <c r="GH21" i="4"/>
  <c r="GH22" i="4"/>
  <c r="GH23" i="4"/>
  <c r="GH24" i="4"/>
  <c r="GH25" i="4"/>
  <c r="GH26" i="4"/>
  <c r="GH27" i="4"/>
  <c r="GH28" i="4"/>
  <c r="GH29" i="4"/>
  <c r="GH30" i="4"/>
  <c r="AN4" i="4" l="1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E7" i="4" l="1"/>
  <c r="AB7" i="4"/>
  <c r="AD7" i="4"/>
  <c r="AD4" i="4"/>
  <c r="AD5" i="4"/>
  <c r="AD6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B11" i="4"/>
  <c r="OO19" i="4" l="1"/>
  <c r="NP21" i="4"/>
  <c r="NP4" i="4"/>
  <c r="NP5" i="4"/>
  <c r="NP6" i="4"/>
  <c r="NP7" i="4"/>
  <c r="NP8" i="4"/>
  <c r="NP9" i="4"/>
  <c r="NP10" i="4"/>
  <c r="NP11" i="4"/>
  <c r="NP12" i="4"/>
  <c r="NP13" i="4"/>
  <c r="NP14" i="4"/>
  <c r="NP15" i="4"/>
  <c r="NP16" i="4"/>
  <c r="NP17" i="4"/>
  <c r="NP18" i="4"/>
  <c r="NP19" i="4"/>
  <c r="NP20" i="4"/>
  <c r="NP22" i="4"/>
  <c r="NP23" i="4"/>
  <c r="NP24" i="4"/>
  <c r="NP25" i="4"/>
  <c r="NP26" i="4"/>
  <c r="NP27" i="4"/>
  <c r="NP28" i="4"/>
  <c r="NP29" i="4"/>
  <c r="NP30" i="4"/>
  <c r="JQ3" i="4"/>
  <c r="GT4" i="4"/>
  <c r="GT5" i="4"/>
  <c r="GT6" i="4"/>
  <c r="GT7" i="4"/>
  <c r="GT8" i="4"/>
  <c r="GT9" i="4"/>
  <c r="GT10" i="4"/>
  <c r="GT11" i="4"/>
  <c r="GT12" i="4"/>
  <c r="GT14" i="4"/>
  <c r="GT15" i="4"/>
  <c r="GT16" i="4"/>
  <c r="GT17" i="4"/>
  <c r="GT18" i="4"/>
  <c r="GT19" i="4"/>
  <c r="GT20" i="4"/>
  <c r="GT21" i="4"/>
  <c r="GT22" i="4"/>
  <c r="GT23" i="4"/>
  <c r="GT24" i="4"/>
  <c r="GT25" i="4"/>
  <c r="GT26" i="4"/>
  <c r="GT27" i="4"/>
  <c r="GT28" i="4"/>
  <c r="GT29" i="4"/>
  <c r="GT30" i="4"/>
  <c r="FP3" i="4"/>
  <c r="FG3" i="4"/>
  <c r="CS3" i="4"/>
  <c r="V3" i="4"/>
  <c r="BO3" i="4"/>
  <c r="KF3" i="4" l="1"/>
  <c r="KD4" i="4"/>
  <c r="KD5" i="4"/>
  <c r="KD6" i="4"/>
  <c r="KD7" i="4"/>
  <c r="KD8" i="4"/>
  <c r="KD9" i="4"/>
  <c r="KD10" i="4"/>
  <c r="KD11" i="4"/>
  <c r="KD12" i="4"/>
  <c r="KD13" i="4"/>
  <c r="KD14" i="4"/>
  <c r="KD15" i="4"/>
  <c r="KD16" i="4"/>
  <c r="KD17" i="4"/>
  <c r="KD18" i="4"/>
  <c r="KD19" i="4"/>
  <c r="KD20" i="4"/>
  <c r="KD21" i="4"/>
  <c r="KD22" i="4"/>
  <c r="KD23" i="4"/>
  <c r="KD24" i="4"/>
  <c r="KD25" i="4"/>
  <c r="KD26" i="4"/>
  <c r="KD27" i="4"/>
  <c r="KD28" i="4"/>
  <c r="KD29" i="4"/>
  <c r="KD30" i="4"/>
  <c r="ER8" i="4" l="1"/>
  <c r="ET8" i="4"/>
  <c r="NZ18" i="4" l="1"/>
  <c r="ML19" i="4"/>
  <c r="MT14" i="4" l="1"/>
  <c r="ME21" i="4"/>
  <c r="ME20" i="4"/>
  <c r="KS3" i="4"/>
  <c r="JH20" i="4"/>
  <c r="IZ20" i="4"/>
  <c r="JH7" i="4"/>
  <c r="GM3" i="4" l="1"/>
  <c r="FY3" i="4"/>
  <c r="FX3" i="4"/>
  <c r="FV3" i="4"/>
  <c r="FS3" i="4"/>
  <c r="FT3" i="4" s="1"/>
  <c r="FD5" i="4"/>
  <c r="FD3" i="4"/>
  <c r="FD6" i="4"/>
  <c r="OE19" i="4" l="1"/>
  <c r="OP15" i="4" l="1"/>
  <c r="OP29" i="4"/>
  <c r="OP4" i="4"/>
  <c r="OP5" i="4"/>
  <c r="OP6" i="4"/>
  <c r="OP7" i="4"/>
  <c r="OP8" i="4"/>
  <c r="OP9" i="4"/>
  <c r="OP10" i="4"/>
  <c r="OP11" i="4"/>
  <c r="OP12" i="4"/>
  <c r="OP13" i="4"/>
  <c r="OP14" i="4"/>
  <c r="OP16" i="4"/>
  <c r="OP17" i="4"/>
  <c r="OP18" i="4"/>
  <c r="OP19" i="4"/>
  <c r="OP20" i="4"/>
  <c r="OP21" i="4"/>
  <c r="OP22" i="4"/>
  <c r="OP23" i="4"/>
  <c r="OP24" i="4"/>
  <c r="OP25" i="4"/>
  <c r="OP26" i="4"/>
  <c r="OP27" i="4"/>
  <c r="OP28" i="4"/>
  <c r="OP30" i="4"/>
  <c r="OP3" i="4"/>
  <c r="OO4" i="4"/>
  <c r="OO5" i="4"/>
  <c r="OO6" i="4"/>
  <c r="OO7" i="4"/>
  <c r="OO8" i="4"/>
  <c r="OO9" i="4"/>
  <c r="OO10" i="4"/>
  <c r="OO11" i="4"/>
  <c r="OO12" i="4"/>
  <c r="OO13" i="4"/>
  <c r="OO14" i="4"/>
  <c r="OO15" i="4"/>
  <c r="OO16" i="4"/>
  <c r="OO17" i="4"/>
  <c r="OO18" i="4"/>
  <c r="OO20" i="4"/>
  <c r="OO21" i="4"/>
  <c r="OO22" i="4"/>
  <c r="OO23" i="4"/>
  <c r="OO24" i="4"/>
  <c r="OO25" i="4"/>
  <c r="OO26" i="4"/>
  <c r="OO27" i="4"/>
  <c r="OO28" i="4"/>
  <c r="OO29" i="4"/>
  <c r="OO30" i="4"/>
  <c r="OO3" i="4"/>
  <c r="OM4" i="4"/>
  <c r="OM5" i="4"/>
  <c r="OM6" i="4"/>
  <c r="OM7" i="4"/>
  <c r="OM8" i="4"/>
  <c r="OM9" i="4"/>
  <c r="OM10" i="4"/>
  <c r="OM11" i="4"/>
  <c r="OM12" i="4"/>
  <c r="OM14" i="4"/>
  <c r="OM15" i="4"/>
  <c r="OM16" i="4"/>
  <c r="OM17" i="4"/>
  <c r="OM18" i="4"/>
  <c r="OM19" i="4"/>
  <c r="OM20" i="4"/>
  <c r="OM21" i="4"/>
  <c r="OM22" i="4"/>
  <c r="OM23" i="4"/>
  <c r="OM24" i="4"/>
  <c r="OM25" i="4"/>
  <c r="OM26" i="4"/>
  <c r="OM27" i="4"/>
  <c r="OM28" i="4"/>
  <c r="OM29" i="4"/>
  <c r="OM30" i="4"/>
  <c r="OM3" i="4"/>
  <c r="OJ4" i="4"/>
  <c r="OK4" i="4" s="1"/>
  <c r="OJ5" i="4"/>
  <c r="OK5" i="4" s="1"/>
  <c r="OJ6" i="4"/>
  <c r="OK6" i="4" s="1"/>
  <c r="OJ7" i="4"/>
  <c r="OK7" i="4" s="1"/>
  <c r="OJ8" i="4"/>
  <c r="OK8" i="4" s="1"/>
  <c r="OJ9" i="4"/>
  <c r="OK9" i="4" s="1"/>
  <c r="OJ10" i="4"/>
  <c r="OK10" i="4" s="1"/>
  <c r="OJ11" i="4"/>
  <c r="OK11" i="4" s="1"/>
  <c r="OJ12" i="4"/>
  <c r="OK12" i="4" s="1"/>
  <c r="OJ13" i="4"/>
  <c r="OK13" i="4" s="1"/>
  <c r="OJ14" i="4"/>
  <c r="OK14" i="4" s="1"/>
  <c r="OJ15" i="4"/>
  <c r="OK15" i="4" s="1"/>
  <c r="OJ16" i="4"/>
  <c r="OK16" i="4" s="1"/>
  <c r="OJ17" i="4"/>
  <c r="OK17" i="4" s="1"/>
  <c r="OJ18" i="4"/>
  <c r="OK18" i="4" s="1"/>
  <c r="OJ19" i="4"/>
  <c r="OK19" i="4" s="1"/>
  <c r="OJ20" i="4"/>
  <c r="OK20" i="4" s="1"/>
  <c r="OJ21" i="4"/>
  <c r="OK21" i="4" s="1"/>
  <c r="OJ22" i="4"/>
  <c r="OK22" i="4" s="1"/>
  <c r="OJ23" i="4"/>
  <c r="OK23" i="4" s="1"/>
  <c r="OJ24" i="4"/>
  <c r="OK24" i="4" s="1"/>
  <c r="OJ25" i="4"/>
  <c r="OK25" i="4" s="1"/>
  <c r="OJ26" i="4"/>
  <c r="OK26" i="4" s="1"/>
  <c r="OJ27" i="4"/>
  <c r="OK27" i="4" s="1"/>
  <c r="OJ28" i="4"/>
  <c r="OK28" i="4" s="1"/>
  <c r="OJ29" i="4"/>
  <c r="OK29" i="4" s="1"/>
  <c r="OJ30" i="4"/>
  <c r="OK30" i="4" s="1"/>
  <c r="OJ3" i="4"/>
  <c r="OK3" i="4" s="1"/>
  <c r="OG23" i="4"/>
  <c r="OG4" i="4"/>
  <c r="OG5" i="4"/>
  <c r="OG6" i="4"/>
  <c r="OG7" i="4"/>
  <c r="OG8" i="4"/>
  <c r="OG9" i="4"/>
  <c r="OG10" i="4"/>
  <c r="OG11" i="4"/>
  <c r="OG12" i="4"/>
  <c r="OG13" i="4"/>
  <c r="OG14" i="4"/>
  <c r="OG15" i="4"/>
  <c r="OG16" i="4"/>
  <c r="OG17" i="4"/>
  <c r="OG18" i="4"/>
  <c r="OG19" i="4"/>
  <c r="OH19" i="4" s="1"/>
  <c r="OG20" i="4"/>
  <c r="OG21" i="4"/>
  <c r="OG22" i="4"/>
  <c r="OG24" i="4"/>
  <c r="OG25" i="4"/>
  <c r="OG26" i="4"/>
  <c r="OG27" i="4"/>
  <c r="OG28" i="4"/>
  <c r="OG29" i="4"/>
  <c r="OG30" i="4"/>
  <c r="OG3" i="4"/>
  <c r="OE4" i="4"/>
  <c r="OE5" i="4"/>
  <c r="OE6" i="4"/>
  <c r="OE7" i="4"/>
  <c r="OE8" i="4"/>
  <c r="OE9" i="4"/>
  <c r="OE10" i="4"/>
  <c r="OE11" i="4"/>
  <c r="OE12" i="4"/>
  <c r="OE13" i="4"/>
  <c r="OE14" i="4"/>
  <c r="OE15" i="4"/>
  <c r="OE16" i="4"/>
  <c r="OE17" i="4"/>
  <c r="OE18" i="4"/>
  <c r="OE20" i="4"/>
  <c r="OE21" i="4"/>
  <c r="OE22" i="4"/>
  <c r="OE23" i="4"/>
  <c r="OE24" i="4"/>
  <c r="OE25" i="4"/>
  <c r="OE26" i="4"/>
  <c r="OE27" i="4"/>
  <c r="OE28" i="4"/>
  <c r="OE29" i="4"/>
  <c r="OE30" i="4"/>
  <c r="OE3" i="4"/>
  <c r="OA4" i="4"/>
  <c r="OA5" i="4"/>
  <c r="OA6" i="4"/>
  <c r="OA7" i="4"/>
  <c r="OA8" i="4"/>
  <c r="OA9" i="4"/>
  <c r="OA10" i="4"/>
  <c r="OA11" i="4"/>
  <c r="OA12" i="4"/>
  <c r="OA13" i="4"/>
  <c r="OA14" i="4"/>
  <c r="OA15" i="4"/>
  <c r="OA16" i="4"/>
  <c r="OA17" i="4"/>
  <c r="OA18" i="4"/>
  <c r="OA19" i="4"/>
  <c r="OA20" i="4"/>
  <c r="OA21" i="4"/>
  <c r="OA22" i="4"/>
  <c r="OA23" i="4"/>
  <c r="OA24" i="4"/>
  <c r="OA25" i="4"/>
  <c r="OA26" i="4"/>
  <c r="OA27" i="4"/>
  <c r="OA28" i="4"/>
  <c r="OA29" i="4"/>
  <c r="OA30" i="4"/>
  <c r="NZ4" i="4"/>
  <c r="NZ5" i="4"/>
  <c r="NZ6" i="4"/>
  <c r="NZ7" i="4"/>
  <c r="NZ8" i="4"/>
  <c r="NZ9" i="4"/>
  <c r="NZ10" i="4"/>
  <c r="NZ11" i="4"/>
  <c r="NZ12" i="4"/>
  <c r="NZ13" i="4"/>
  <c r="NZ14" i="4"/>
  <c r="NZ15" i="4"/>
  <c r="NZ16" i="4"/>
  <c r="NZ17" i="4"/>
  <c r="NZ19" i="4"/>
  <c r="NZ20" i="4"/>
  <c r="NZ21" i="4"/>
  <c r="NZ22" i="4"/>
  <c r="NZ23" i="4"/>
  <c r="NZ24" i="4"/>
  <c r="NZ25" i="4"/>
  <c r="NZ26" i="4"/>
  <c r="NZ27" i="4"/>
  <c r="NZ28" i="4"/>
  <c r="NZ29" i="4"/>
  <c r="NZ30" i="4"/>
  <c r="OA3" i="4"/>
  <c r="NZ3" i="4"/>
  <c r="NX4" i="4"/>
  <c r="NX5" i="4"/>
  <c r="NX6" i="4"/>
  <c r="NX7" i="4"/>
  <c r="NX8" i="4"/>
  <c r="NX9" i="4"/>
  <c r="NX10" i="4"/>
  <c r="NX11" i="4"/>
  <c r="NX12" i="4"/>
  <c r="NX13" i="4"/>
  <c r="NX14" i="4"/>
  <c r="NX15" i="4"/>
  <c r="NX16" i="4"/>
  <c r="NX17" i="4"/>
  <c r="NX18" i="4"/>
  <c r="NX19" i="4"/>
  <c r="NX20" i="4"/>
  <c r="NX21" i="4"/>
  <c r="NX22" i="4"/>
  <c r="NX23" i="4"/>
  <c r="NX24" i="4"/>
  <c r="NX25" i="4"/>
  <c r="NX26" i="4"/>
  <c r="NX27" i="4"/>
  <c r="NX28" i="4"/>
  <c r="NX29" i="4"/>
  <c r="NX30" i="4"/>
  <c r="NX3" i="4"/>
  <c r="NU4" i="4"/>
  <c r="NV4" i="4" s="1"/>
  <c r="NU5" i="4"/>
  <c r="NV5" i="4" s="1"/>
  <c r="NU6" i="4"/>
  <c r="NV6" i="4" s="1"/>
  <c r="NU7" i="4"/>
  <c r="NV7" i="4" s="1"/>
  <c r="NU8" i="4"/>
  <c r="NV8" i="4" s="1"/>
  <c r="NU9" i="4"/>
  <c r="NV9" i="4" s="1"/>
  <c r="NU10" i="4"/>
  <c r="NV10" i="4" s="1"/>
  <c r="NU11" i="4"/>
  <c r="NV11" i="4" s="1"/>
  <c r="NU12" i="4"/>
  <c r="NV12" i="4" s="1"/>
  <c r="NU13" i="4"/>
  <c r="NV13" i="4" s="1"/>
  <c r="NU14" i="4"/>
  <c r="NV14" i="4" s="1"/>
  <c r="NU15" i="4"/>
  <c r="NV15" i="4" s="1"/>
  <c r="NU16" i="4"/>
  <c r="NV16" i="4" s="1"/>
  <c r="NU17" i="4"/>
  <c r="NV17" i="4" s="1"/>
  <c r="NU18" i="4"/>
  <c r="NV18" i="4" s="1"/>
  <c r="NU19" i="4"/>
  <c r="NV19" i="4" s="1"/>
  <c r="NU20" i="4"/>
  <c r="NV20" i="4" s="1"/>
  <c r="NU21" i="4"/>
  <c r="NV21" i="4" s="1"/>
  <c r="NU22" i="4"/>
  <c r="NV22" i="4" s="1"/>
  <c r="NU23" i="4"/>
  <c r="NV23" i="4" s="1"/>
  <c r="NU24" i="4"/>
  <c r="NV24" i="4" s="1"/>
  <c r="NU25" i="4"/>
  <c r="NV25" i="4" s="1"/>
  <c r="NU26" i="4"/>
  <c r="NV26" i="4" s="1"/>
  <c r="NU27" i="4"/>
  <c r="NV27" i="4" s="1"/>
  <c r="NU28" i="4"/>
  <c r="NV28" i="4" s="1"/>
  <c r="NU29" i="4"/>
  <c r="NV29" i="4" s="1"/>
  <c r="NU30" i="4"/>
  <c r="NV30" i="4" s="1"/>
  <c r="NU3" i="4"/>
  <c r="NV3" i="4" s="1"/>
  <c r="NR4" i="4"/>
  <c r="NS4" i="4" s="1"/>
  <c r="NR5" i="4"/>
  <c r="NS5" i="4" s="1"/>
  <c r="NR6" i="4"/>
  <c r="NS6" i="4" s="1"/>
  <c r="NR7" i="4"/>
  <c r="NS7" i="4" s="1"/>
  <c r="NR8" i="4"/>
  <c r="NS8" i="4" s="1"/>
  <c r="NR9" i="4"/>
  <c r="NS9" i="4" s="1"/>
  <c r="NR10" i="4"/>
  <c r="NR11" i="4"/>
  <c r="NR12" i="4"/>
  <c r="NR13" i="4"/>
  <c r="NR14" i="4"/>
  <c r="NR15" i="4"/>
  <c r="NR16" i="4"/>
  <c r="NR17" i="4"/>
  <c r="NR18" i="4"/>
  <c r="NR19" i="4"/>
  <c r="NR20" i="4"/>
  <c r="NR21" i="4"/>
  <c r="NR22" i="4"/>
  <c r="NR23" i="4"/>
  <c r="NR24" i="4"/>
  <c r="NR25" i="4"/>
  <c r="NR26" i="4"/>
  <c r="NR27" i="4"/>
  <c r="NR28" i="4"/>
  <c r="NR29" i="4"/>
  <c r="NR30" i="4"/>
  <c r="NR3" i="4"/>
  <c r="NP3" i="4"/>
  <c r="NL3" i="4"/>
  <c r="MW3" i="4"/>
  <c r="NL4" i="4"/>
  <c r="NL5" i="4"/>
  <c r="NL6" i="4"/>
  <c r="NL7" i="4"/>
  <c r="NL8" i="4"/>
  <c r="NL9" i="4"/>
  <c r="NL10" i="4"/>
  <c r="NL11" i="4"/>
  <c r="NL12" i="4"/>
  <c r="NL13" i="4"/>
  <c r="NL14" i="4"/>
  <c r="NL15" i="4"/>
  <c r="NL16" i="4"/>
  <c r="NL17" i="4"/>
  <c r="NL18" i="4"/>
  <c r="NL19" i="4"/>
  <c r="NL20" i="4"/>
  <c r="NL21" i="4"/>
  <c r="NL22" i="4"/>
  <c r="NL23" i="4"/>
  <c r="NL24" i="4"/>
  <c r="NL25" i="4"/>
  <c r="NL26" i="4"/>
  <c r="NL27" i="4"/>
  <c r="NL28" i="4"/>
  <c r="NL29" i="4"/>
  <c r="NL30" i="4"/>
  <c r="NK4" i="4"/>
  <c r="NK5" i="4"/>
  <c r="NK6" i="4"/>
  <c r="NK7" i="4"/>
  <c r="NK8" i="4"/>
  <c r="NK9" i="4"/>
  <c r="NK10" i="4"/>
  <c r="NK11" i="4"/>
  <c r="NK12" i="4"/>
  <c r="NK13" i="4"/>
  <c r="NK14" i="4"/>
  <c r="NK15" i="4"/>
  <c r="NK16" i="4"/>
  <c r="NK17" i="4"/>
  <c r="NK18" i="4"/>
  <c r="NK19" i="4"/>
  <c r="NK20" i="4"/>
  <c r="NK21" i="4"/>
  <c r="NK22" i="4"/>
  <c r="NK23" i="4"/>
  <c r="NK24" i="4"/>
  <c r="NK25" i="4"/>
  <c r="NK26" i="4"/>
  <c r="NK27" i="4"/>
  <c r="NK28" i="4"/>
  <c r="NK29" i="4"/>
  <c r="NK30" i="4"/>
  <c r="NK3" i="4"/>
  <c r="NI4" i="4"/>
  <c r="NI5" i="4"/>
  <c r="NI6" i="4"/>
  <c r="NI7" i="4"/>
  <c r="NI8" i="4"/>
  <c r="NI9" i="4"/>
  <c r="NI10" i="4"/>
  <c r="NI11" i="4"/>
  <c r="NI12" i="4"/>
  <c r="NI13" i="4"/>
  <c r="NI14" i="4"/>
  <c r="NI15" i="4"/>
  <c r="NI16" i="4"/>
  <c r="NI17" i="4"/>
  <c r="NI18" i="4"/>
  <c r="NI19" i="4"/>
  <c r="NI20" i="4"/>
  <c r="NI21" i="4"/>
  <c r="NI22" i="4"/>
  <c r="NI23" i="4"/>
  <c r="NI24" i="4"/>
  <c r="NI25" i="4"/>
  <c r="NI26" i="4"/>
  <c r="NI27" i="4"/>
  <c r="NI28" i="4"/>
  <c r="NI29" i="4"/>
  <c r="NI30" i="4"/>
  <c r="NI3" i="4"/>
  <c r="NF3" i="4"/>
  <c r="NG3" i="4" s="1"/>
  <c r="NC4" i="4"/>
  <c r="NC5" i="4"/>
  <c r="NC6" i="4"/>
  <c r="NC7" i="4"/>
  <c r="NC8" i="4"/>
  <c r="NC9" i="4"/>
  <c r="NC10" i="4"/>
  <c r="NC11" i="4"/>
  <c r="NC12" i="4"/>
  <c r="NC13" i="4"/>
  <c r="NC14" i="4"/>
  <c r="NC15" i="4"/>
  <c r="NC16" i="4"/>
  <c r="NC17" i="4"/>
  <c r="NC18" i="4"/>
  <c r="NC19" i="4"/>
  <c r="NC20" i="4"/>
  <c r="NC21" i="4"/>
  <c r="NC22" i="4"/>
  <c r="NC23" i="4"/>
  <c r="NC24" i="4"/>
  <c r="NC25" i="4"/>
  <c r="NC26" i="4"/>
  <c r="NC27" i="4"/>
  <c r="NC28" i="4"/>
  <c r="NC29" i="4"/>
  <c r="NC30" i="4"/>
  <c r="NC3" i="4"/>
  <c r="NA4" i="4"/>
  <c r="NA5" i="4"/>
  <c r="NA6" i="4"/>
  <c r="NA7" i="4"/>
  <c r="NA8" i="4"/>
  <c r="NA9" i="4"/>
  <c r="NA10" i="4"/>
  <c r="NA11" i="4"/>
  <c r="NA12" i="4"/>
  <c r="NA13" i="4"/>
  <c r="NA14" i="4"/>
  <c r="NA15" i="4"/>
  <c r="NA16" i="4"/>
  <c r="NA17" i="4"/>
  <c r="NA18" i="4"/>
  <c r="NA19" i="4"/>
  <c r="NA20" i="4"/>
  <c r="NA21" i="4"/>
  <c r="NA22" i="4"/>
  <c r="NA23" i="4"/>
  <c r="NA24" i="4"/>
  <c r="NA25" i="4"/>
  <c r="NA26" i="4"/>
  <c r="NA27" i="4"/>
  <c r="NA28" i="4"/>
  <c r="NA29" i="4"/>
  <c r="NA30" i="4"/>
  <c r="NA3" i="4"/>
  <c r="MW4" i="4"/>
  <c r="MW5" i="4"/>
  <c r="MW6" i="4"/>
  <c r="MW7" i="4"/>
  <c r="MW8" i="4"/>
  <c r="MW9" i="4"/>
  <c r="MW10" i="4"/>
  <c r="MW11" i="4"/>
  <c r="MW12" i="4"/>
  <c r="MW13" i="4"/>
  <c r="MW14" i="4"/>
  <c r="MW15" i="4"/>
  <c r="MW16" i="4"/>
  <c r="MW17" i="4"/>
  <c r="MW18" i="4"/>
  <c r="MW19" i="4"/>
  <c r="MW20" i="4"/>
  <c r="MW21" i="4"/>
  <c r="MW22" i="4"/>
  <c r="MW23" i="4"/>
  <c r="MW24" i="4"/>
  <c r="MW25" i="4"/>
  <c r="MW26" i="4"/>
  <c r="MW27" i="4"/>
  <c r="MW28" i="4"/>
  <c r="MW29" i="4"/>
  <c r="MW30" i="4"/>
  <c r="MV4" i="4"/>
  <c r="MV5" i="4"/>
  <c r="MV6" i="4"/>
  <c r="MV7" i="4"/>
  <c r="MV8" i="4"/>
  <c r="MV9" i="4"/>
  <c r="MV10" i="4"/>
  <c r="MV11" i="4"/>
  <c r="MV12" i="4"/>
  <c r="MV13" i="4"/>
  <c r="MV14" i="4"/>
  <c r="MV15" i="4"/>
  <c r="MV16" i="4"/>
  <c r="MV17" i="4"/>
  <c r="MV18" i="4"/>
  <c r="MV19" i="4"/>
  <c r="MV20" i="4"/>
  <c r="MV21" i="4"/>
  <c r="MV22" i="4"/>
  <c r="MV23" i="4"/>
  <c r="MV24" i="4"/>
  <c r="MV25" i="4"/>
  <c r="MV26" i="4"/>
  <c r="MV27" i="4"/>
  <c r="MV28" i="4"/>
  <c r="MV29" i="4"/>
  <c r="MV30" i="4"/>
  <c r="MV3" i="4"/>
  <c r="MT4" i="4"/>
  <c r="MT5" i="4"/>
  <c r="MT6" i="4"/>
  <c r="MT7" i="4"/>
  <c r="MT8" i="4"/>
  <c r="MT9" i="4"/>
  <c r="MT10" i="4"/>
  <c r="MT11" i="4"/>
  <c r="MT12" i="4"/>
  <c r="MT13" i="4"/>
  <c r="MT15" i="4"/>
  <c r="MT16" i="4"/>
  <c r="MT17" i="4"/>
  <c r="MT18" i="4"/>
  <c r="MT19" i="4"/>
  <c r="MT20" i="4"/>
  <c r="MT21" i="4"/>
  <c r="MT22" i="4"/>
  <c r="MT23" i="4"/>
  <c r="MT24" i="4"/>
  <c r="MT25" i="4"/>
  <c r="MT26" i="4"/>
  <c r="MT27" i="4"/>
  <c r="MT28" i="4"/>
  <c r="MT29" i="4"/>
  <c r="MT30" i="4"/>
  <c r="MT3" i="4"/>
  <c r="MQ4" i="4"/>
  <c r="MR4" i="4" s="1"/>
  <c r="MQ5" i="4"/>
  <c r="MR5" i="4" s="1"/>
  <c r="MQ6" i="4"/>
  <c r="MR6" i="4" s="1"/>
  <c r="MQ7" i="4"/>
  <c r="MR7" i="4" s="1"/>
  <c r="MQ8" i="4"/>
  <c r="MR8" i="4" s="1"/>
  <c r="MQ9" i="4"/>
  <c r="MR9" i="4" s="1"/>
  <c r="MQ10" i="4"/>
  <c r="MR10" i="4" s="1"/>
  <c r="MQ11" i="4"/>
  <c r="MR11" i="4" s="1"/>
  <c r="MQ12" i="4"/>
  <c r="MR12" i="4" s="1"/>
  <c r="MQ13" i="4"/>
  <c r="MR13" i="4" s="1"/>
  <c r="MQ14" i="4"/>
  <c r="MR14" i="4" s="1"/>
  <c r="MQ15" i="4"/>
  <c r="MR15" i="4" s="1"/>
  <c r="MQ16" i="4"/>
  <c r="MR16" i="4" s="1"/>
  <c r="MQ17" i="4"/>
  <c r="MR17" i="4" s="1"/>
  <c r="MQ18" i="4"/>
  <c r="MR18" i="4" s="1"/>
  <c r="MQ19" i="4"/>
  <c r="MR19" i="4" s="1"/>
  <c r="MQ20" i="4"/>
  <c r="MR20" i="4" s="1"/>
  <c r="MQ21" i="4"/>
  <c r="MR21" i="4" s="1"/>
  <c r="MQ22" i="4"/>
  <c r="MR22" i="4" s="1"/>
  <c r="MQ23" i="4"/>
  <c r="MR23" i="4" s="1"/>
  <c r="MQ24" i="4"/>
  <c r="MR24" i="4" s="1"/>
  <c r="MQ25" i="4"/>
  <c r="MR25" i="4" s="1"/>
  <c r="MQ26" i="4"/>
  <c r="MR26" i="4" s="1"/>
  <c r="MQ27" i="4"/>
  <c r="MR27" i="4" s="1"/>
  <c r="MQ28" i="4"/>
  <c r="MR28" i="4" s="1"/>
  <c r="MQ29" i="4"/>
  <c r="MR29" i="4" s="1"/>
  <c r="MQ30" i="4"/>
  <c r="MR30" i="4" s="1"/>
  <c r="MQ3" i="4"/>
  <c r="MR3" i="4" s="1"/>
  <c r="MN4" i="4"/>
  <c r="MN5" i="4"/>
  <c r="MN6" i="4"/>
  <c r="MN7" i="4"/>
  <c r="MN8" i="4"/>
  <c r="MN9" i="4"/>
  <c r="MN10" i="4"/>
  <c r="MN11" i="4"/>
  <c r="MN12" i="4"/>
  <c r="MN13" i="4"/>
  <c r="MN14" i="4"/>
  <c r="MN15" i="4"/>
  <c r="MN16" i="4"/>
  <c r="MN17" i="4"/>
  <c r="MN18" i="4"/>
  <c r="MN19" i="4"/>
  <c r="MO19" i="4" s="1"/>
  <c r="MN20" i="4"/>
  <c r="MN21" i="4"/>
  <c r="MN22" i="4"/>
  <c r="MN23" i="4"/>
  <c r="MN24" i="4"/>
  <c r="MN25" i="4"/>
  <c r="MN26" i="4"/>
  <c r="MN27" i="4"/>
  <c r="MN28" i="4"/>
  <c r="MN29" i="4"/>
  <c r="MN30" i="4"/>
  <c r="MN3" i="4"/>
  <c r="ML4" i="4"/>
  <c r="ML5" i="4"/>
  <c r="ML6" i="4"/>
  <c r="ML7" i="4"/>
  <c r="ML8" i="4"/>
  <c r="ML9" i="4"/>
  <c r="ML10" i="4"/>
  <c r="ML11" i="4"/>
  <c r="ML12" i="4"/>
  <c r="ML13" i="4"/>
  <c r="ML14" i="4"/>
  <c r="ML15" i="4"/>
  <c r="ML16" i="4"/>
  <c r="ML17" i="4"/>
  <c r="ML18" i="4"/>
  <c r="ML20" i="4"/>
  <c r="ML21" i="4"/>
  <c r="ML22" i="4"/>
  <c r="ML23" i="4"/>
  <c r="ML24" i="4"/>
  <c r="ML25" i="4"/>
  <c r="ML26" i="4"/>
  <c r="ML27" i="4"/>
  <c r="ML28" i="4"/>
  <c r="ML29" i="4"/>
  <c r="ML30" i="4"/>
  <c r="ML3" i="4"/>
  <c r="LS3" i="4"/>
  <c r="MH6" i="4"/>
  <c r="MH23" i="4"/>
  <c r="MH4" i="4"/>
  <c r="MH5" i="4"/>
  <c r="MH7" i="4"/>
  <c r="MH8" i="4"/>
  <c r="MH9" i="4"/>
  <c r="MH10" i="4"/>
  <c r="MH11" i="4"/>
  <c r="MH12" i="4"/>
  <c r="MH13" i="4"/>
  <c r="MH14" i="4"/>
  <c r="MH15" i="4"/>
  <c r="MH16" i="4"/>
  <c r="MH17" i="4"/>
  <c r="MH18" i="4"/>
  <c r="MH19" i="4"/>
  <c r="MH20" i="4"/>
  <c r="MH21" i="4"/>
  <c r="MH22" i="4"/>
  <c r="MH24" i="4"/>
  <c r="MH25" i="4"/>
  <c r="MH26" i="4"/>
  <c r="MH27" i="4"/>
  <c r="MH28" i="4"/>
  <c r="MH29" i="4"/>
  <c r="MH30" i="4"/>
  <c r="MH3" i="4"/>
  <c r="MG4" i="4"/>
  <c r="MG5" i="4"/>
  <c r="MG6" i="4"/>
  <c r="MG7" i="4"/>
  <c r="MG8" i="4"/>
  <c r="MG9" i="4"/>
  <c r="MG10" i="4"/>
  <c r="MG11" i="4"/>
  <c r="MG12" i="4"/>
  <c r="MG13" i="4"/>
  <c r="MG14" i="4"/>
  <c r="MG15" i="4"/>
  <c r="MG16" i="4"/>
  <c r="MG17" i="4"/>
  <c r="MG18" i="4"/>
  <c r="MG19" i="4"/>
  <c r="MG20" i="4"/>
  <c r="MG21" i="4"/>
  <c r="MG22" i="4"/>
  <c r="MG23" i="4"/>
  <c r="MG24" i="4"/>
  <c r="MG25" i="4"/>
  <c r="MG26" i="4"/>
  <c r="MG27" i="4"/>
  <c r="MG28" i="4"/>
  <c r="MG29" i="4"/>
  <c r="MG30" i="4"/>
  <c r="MG3" i="4"/>
  <c r="ME4" i="4"/>
  <c r="ME5" i="4"/>
  <c r="ME6" i="4"/>
  <c r="ME7" i="4"/>
  <c r="ME8" i="4"/>
  <c r="ME9" i="4"/>
  <c r="ME10" i="4"/>
  <c r="ME11" i="4"/>
  <c r="ME12" i="4"/>
  <c r="ME13" i="4"/>
  <c r="ME14" i="4"/>
  <c r="ME15" i="4"/>
  <c r="ME16" i="4"/>
  <c r="ME17" i="4"/>
  <c r="ME18" i="4"/>
  <c r="ME19" i="4"/>
  <c r="ME22" i="4"/>
  <c r="ME23" i="4"/>
  <c r="ME24" i="4"/>
  <c r="ME25" i="4"/>
  <c r="ME26" i="4"/>
  <c r="ME27" i="4"/>
  <c r="ME28" i="4"/>
  <c r="ME29" i="4"/>
  <c r="ME30" i="4"/>
  <c r="ME3" i="4"/>
  <c r="MB3" i="4"/>
  <c r="MC3" i="4" s="1"/>
  <c r="LY4" i="4"/>
  <c r="LY5" i="4"/>
  <c r="LY6" i="4"/>
  <c r="LY7" i="4"/>
  <c r="LY8" i="4"/>
  <c r="LY9" i="4"/>
  <c r="LY10" i="4"/>
  <c r="LY11" i="4"/>
  <c r="LY12" i="4"/>
  <c r="LY13" i="4"/>
  <c r="LY14" i="4"/>
  <c r="LY15" i="4"/>
  <c r="LY16" i="4"/>
  <c r="LY17" i="4"/>
  <c r="LY18" i="4"/>
  <c r="LY19" i="4"/>
  <c r="LY20" i="4"/>
  <c r="LY21" i="4"/>
  <c r="LY22" i="4"/>
  <c r="LY23" i="4"/>
  <c r="LY24" i="4"/>
  <c r="LY25" i="4"/>
  <c r="LY26" i="4"/>
  <c r="LY27" i="4"/>
  <c r="LY28" i="4"/>
  <c r="LY29" i="4"/>
  <c r="LY30" i="4"/>
  <c r="LY3" i="4"/>
  <c r="LW4" i="4"/>
  <c r="LW5" i="4"/>
  <c r="LW6" i="4"/>
  <c r="LW7" i="4"/>
  <c r="LW8" i="4"/>
  <c r="LW9" i="4"/>
  <c r="LW10" i="4"/>
  <c r="LW11" i="4"/>
  <c r="LW12" i="4"/>
  <c r="LW13" i="4"/>
  <c r="LW14" i="4"/>
  <c r="LW15" i="4"/>
  <c r="LW16" i="4"/>
  <c r="LW17" i="4"/>
  <c r="LW18" i="4"/>
  <c r="LW19" i="4"/>
  <c r="LW20" i="4"/>
  <c r="LW21" i="4"/>
  <c r="LW22" i="4"/>
  <c r="LW23" i="4"/>
  <c r="LW24" i="4"/>
  <c r="LW25" i="4"/>
  <c r="LW26" i="4"/>
  <c r="LW27" i="4"/>
  <c r="LW28" i="4"/>
  <c r="LW29" i="4"/>
  <c r="LW30" i="4"/>
  <c r="LW3" i="4"/>
  <c r="LS4" i="4"/>
  <c r="LS5" i="4"/>
  <c r="LS6" i="4"/>
  <c r="LS7" i="4"/>
  <c r="LS8" i="4"/>
  <c r="LS9" i="4"/>
  <c r="LS10" i="4"/>
  <c r="LS11" i="4"/>
  <c r="LS12" i="4"/>
  <c r="LS13" i="4"/>
  <c r="LS14" i="4"/>
  <c r="LS15" i="4"/>
  <c r="LS16" i="4"/>
  <c r="LS17" i="4"/>
  <c r="LS18" i="4"/>
  <c r="LS19" i="4"/>
  <c r="LS20" i="4"/>
  <c r="LS21" i="4"/>
  <c r="LS22" i="4"/>
  <c r="LS23" i="4"/>
  <c r="LS24" i="4"/>
  <c r="LS25" i="4"/>
  <c r="LS26" i="4"/>
  <c r="LS27" i="4"/>
  <c r="LS28" i="4"/>
  <c r="LS29" i="4"/>
  <c r="LS30" i="4"/>
  <c r="LR3" i="4"/>
  <c r="LR4" i="4"/>
  <c r="LR5" i="4"/>
  <c r="LR6" i="4"/>
  <c r="LR7" i="4"/>
  <c r="LR8" i="4"/>
  <c r="LR9" i="4"/>
  <c r="LR10" i="4"/>
  <c r="LR11" i="4"/>
  <c r="LR12" i="4"/>
  <c r="LR13" i="4"/>
  <c r="LR14" i="4"/>
  <c r="LR15" i="4"/>
  <c r="LR16" i="4"/>
  <c r="LR17" i="4"/>
  <c r="LR18" i="4"/>
  <c r="LR19" i="4"/>
  <c r="LR20" i="4"/>
  <c r="LR21" i="4"/>
  <c r="LR22" i="4"/>
  <c r="LR23" i="4"/>
  <c r="LR24" i="4"/>
  <c r="LR25" i="4"/>
  <c r="LR26" i="4"/>
  <c r="LR27" i="4"/>
  <c r="LR28" i="4"/>
  <c r="LR29" i="4"/>
  <c r="LR30" i="4"/>
  <c r="LP3" i="4"/>
  <c r="LP4" i="4"/>
  <c r="LP5" i="4"/>
  <c r="LP6" i="4"/>
  <c r="LP7" i="4"/>
  <c r="LP8" i="4"/>
  <c r="LP9" i="4"/>
  <c r="LP10" i="4"/>
  <c r="LP11" i="4"/>
  <c r="LP12" i="4"/>
  <c r="LP13" i="4"/>
  <c r="LP14" i="4"/>
  <c r="LP15" i="4"/>
  <c r="LP16" i="4"/>
  <c r="LP17" i="4"/>
  <c r="LP18" i="4"/>
  <c r="LP19" i="4"/>
  <c r="LP20" i="4"/>
  <c r="LP21" i="4"/>
  <c r="LP22" i="4"/>
  <c r="LP23" i="4"/>
  <c r="LP24" i="4"/>
  <c r="LP25" i="4"/>
  <c r="LP26" i="4"/>
  <c r="LP27" i="4"/>
  <c r="LP28" i="4"/>
  <c r="LP29" i="4"/>
  <c r="LP30" i="4"/>
  <c r="LM4" i="4"/>
  <c r="LN4" i="4" s="1"/>
  <c r="LM5" i="4"/>
  <c r="LN5" i="4" s="1"/>
  <c r="LM6" i="4"/>
  <c r="LN6" i="4" s="1"/>
  <c r="LM7" i="4"/>
  <c r="LN7" i="4" s="1"/>
  <c r="LM8" i="4"/>
  <c r="LN8" i="4" s="1"/>
  <c r="LM9" i="4"/>
  <c r="LN9" i="4" s="1"/>
  <c r="LM10" i="4"/>
  <c r="LN10" i="4" s="1"/>
  <c r="LM11" i="4"/>
  <c r="LN11" i="4" s="1"/>
  <c r="LM12" i="4"/>
  <c r="LN12" i="4" s="1"/>
  <c r="LM13" i="4"/>
  <c r="LN13" i="4" s="1"/>
  <c r="LM14" i="4"/>
  <c r="LN14" i="4" s="1"/>
  <c r="LM15" i="4"/>
  <c r="LN15" i="4" s="1"/>
  <c r="LM16" i="4"/>
  <c r="LN16" i="4" s="1"/>
  <c r="LM17" i="4"/>
  <c r="LN17" i="4" s="1"/>
  <c r="LM18" i="4"/>
  <c r="LN18" i="4" s="1"/>
  <c r="LM19" i="4"/>
  <c r="LN19" i="4" s="1"/>
  <c r="LM20" i="4"/>
  <c r="LN20" i="4" s="1"/>
  <c r="LM21" i="4"/>
  <c r="LN21" i="4" s="1"/>
  <c r="LM22" i="4"/>
  <c r="LN22" i="4" s="1"/>
  <c r="LM23" i="4"/>
  <c r="LN23" i="4" s="1"/>
  <c r="LM24" i="4"/>
  <c r="LN24" i="4" s="1"/>
  <c r="LM25" i="4"/>
  <c r="LN25" i="4" s="1"/>
  <c r="LM26" i="4"/>
  <c r="LN26" i="4" s="1"/>
  <c r="LM27" i="4"/>
  <c r="LN27" i="4" s="1"/>
  <c r="LM28" i="4"/>
  <c r="LN28" i="4" s="1"/>
  <c r="LM29" i="4"/>
  <c r="LN29" i="4" s="1"/>
  <c r="LM30" i="4"/>
  <c r="LN30" i="4" s="1"/>
  <c r="LM3" i="4"/>
  <c r="LN3" i="4" s="1"/>
  <c r="LJ4" i="4"/>
  <c r="LJ5" i="4"/>
  <c r="LJ6" i="4"/>
  <c r="LJ7" i="4"/>
  <c r="LJ8" i="4"/>
  <c r="LJ9" i="4"/>
  <c r="LJ10" i="4"/>
  <c r="LJ11" i="4"/>
  <c r="LJ12" i="4"/>
  <c r="LJ13" i="4"/>
  <c r="LJ14" i="4"/>
  <c r="LJ15" i="4"/>
  <c r="LJ16" i="4"/>
  <c r="LJ17" i="4"/>
  <c r="LJ18" i="4"/>
  <c r="LJ19" i="4"/>
  <c r="LJ20" i="4"/>
  <c r="LJ21" i="4"/>
  <c r="LJ22" i="4"/>
  <c r="LJ23" i="4"/>
  <c r="LJ24" i="4"/>
  <c r="LJ25" i="4"/>
  <c r="LJ26" i="4"/>
  <c r="LJ27" i="4"/>
  <c r="LJ28" i="4"/>
  <c r="LJ29" i="4"/>
  <c r="LJ30" i="4"/>
  <c r="LJ3" i="4"/>
  <c r="LH4" i="4"/>
  <c r="LH5" i="4"/>
  <c r="LH6" i="4"/>
  <c r="LH7" i="4"/>
  <c r="LH8" i="4"/>
  <c r="LH9" i="4"/>
  <c r="LH10" i="4"/>
  <c r="LH11" i="4"/>
  <c r="LH12" i="4"/>
  <c r="LH13" i="4"/>
  <c r="LH14" i="4"/>
  <c r="LH15" i="4"/>
  <c r="LH16" i="4"/>
  <c r="LH17" i="4"/>
  <c r="LH18" i="4"/>
  <c r="LH19" i="4"/>
  <c r="LH20" i="4"/>
  <c r="LH21" i="4"/>
  <c r="LH22" i="4"/>
  <c r="LH23" i="4"/>
  <c r="LH24" i="4"/>
  <c r="LH25" i="4"/>
  <c r="LH26" i="4"/>
  <c r="LH27" i="4"/>
  <c r="LH28" i="4"/>
  <c r="LH29" i="4"/>
  <c r="LH30" i="4"/>
  <c r="LH3" i="4"/>
  <c r="LD4" i="4"/>
  <c r="LD5" i="4"/>
  <c r="LD6" i="4"/>
  <c r="LD7" i="4"/>
  <c r="LD8" i="4"/>
  <c r="LD9" i="4"/>
  <c r="LD10" i="4"/>
  <c r="LD11" i="4"/>
  <c r="LD12" i="4"/>
  <c r="LD13" i="4"/>
  <c r="LD14" i="4"/>
  <c r="LD15" i="4"/>
  <c r="LD16" i="4"/>
  <c r="LD17" i="4"/>
  <c r="LD18" i="4"/>
  <c r="LD19" i="4"/>
  <c r="LD20" i="4"/>
  <c r="LD21" i="4"/>
  <c r="LD22" i="4"/>
  <c r="LD23" i="4"/>
  <c r="LD24" i="4"/>
  <c r="LD25" i="4"/>
  <c r="LD26" i="4"/>
  <c r="LD27" i="4"/>
  <c r="LD28" i="4"/>
  <c r="LD29" i="4"/>
  <c r="LD30" i="4"/>
  <c r="LD3" i="4"/>
  <c r="LC3" i="4"/>
  <c r="KN23" i="4"/>
  <c r="LC24" i="4"/>
  <c r="LC4" i="4"/>
  <c r="LC5" i="4"/>
  <c r="LC6" i="4"/>
  <c r="LC7" i="4"/>
  <c r="LC8" i="4"/>
  <c r="LC9" i="4"/>
  <c r="LC10" i="4"/>
  <c r="LC11" i="4"/>
  <c r="LC12" i="4"/>
  <c r="LC13" i="4"/>
  <c r="LC14" i="4"/>
  <c r="LC15" i="4"/>
  <c r="LC16" i="4"/>
  <c r="LC17" i="4"/>
  <c r="LC18" i="4"/>
  <c r="LC19" i="4"/>
  <c r="LC20" i="4"/>
  <c r="LC21" i="4"/>
  <c r="LC22" i="4"/>
  <c r="LC23" i="4"/>
  <c r="LC25" i="4"/>
  <c r="LC26" i="4"/>
  <c r="LC27" i="4"/>
  <c r="LC28" i="4"/>
  <c r="LC29" i="4"/>
  <c r="LC30" i="4"/>
  <c r="LA4" i="4"/>
  <c r="LA5" i="4"/>
  <c r="LA6" i="4"/>
  <c r="LA7" i="4"/>
  <c r="LA8" i="4"/>
  <c r="LA9" i="4"/>
  <c r="LA10" i="4"/>
  <c r="LA11" i="4"/>
  <c r="LA12" i="4"/>
  <c r="LA13" i="4"/>
  <c r="LA14" i="4"/>
  <c r="LA15" i="4"/>
  <c r="LA16" i="4"/>
  <c r="LA17" i="4"/>
  <c r="LA18" i="4"/>
  <c r="LA19" i="4"/>
  <c r="LA20" i="4"/>
  <c r="LA21" i="4"/>
  <c r="LA22" i="4"/>
  <c r="LA23" i="4"/>
  <c r="LA24" i="4"/>
  <c r="LA25" i="4"/>
  <c r="LA26" i="4"/>
  <c r="LA27" i="4"/>
  <c r="LA28" i="4"/>
  <c r="LA29" i="4"/>
  <c r="LA30" i="4"/>
  <c r="LA3" i="4"/>
  <c r="KX4" i="4"/>
  <c r="KY4" i="4" s="1"/>
  <c r="KX5" i="4"/>
  <c r="KY5" i="4" s="1"/>
  <c r="KX6" i="4"/>
  <c r="KY6" i="4" s="1"/>
  <c r="KX7" i="4"/>
  <c r="KY7" i="4" s="1"/>
  <c r="KX8" i="4"/>
  <c r="KY8" i="4" s="1"/>
  <c r="KX9" i="4"/>
  <c r="KY9" i="4" s="1"/>
  <c r="KX10" i="4"/>
  <c r="KY10" i="4" s="1"/>
  <c r="KX11" i="4"/>
  <c r="KY11" i="4" s="1"/>
  <c r="KX12" i="4"/>
  <c r="KY12" i="4" s="1"/>
  <c r="KX13" i="4"/>
  <c r="KY13" i="4" s="1"/>
  <c r="KX14" i="4"/>
  <c r="KY14" i="4" s="1"/>
  <c r="KX15" i="4"/>
  <c r="KY15" i="4" s="1"/>
  <c r="KX16" i="4"/>
  <c r="KY16" i="4" s="1"/>
  <c r="KX17" i="4"/>
  <c r="KY17" i="4" s="1"/>
  <c r="KX18" i="4"/>
  <c r="KY18" i="4" s="1"/>
  <c r="KX19" i="4"/>
  <c r="KY19" i="4" s="1"/>
  <c r="KX20" i="4"/>
  <c r="KY20" i="4" s="1"/>
  <c r="KX21" i="4"/>
  <c r="KY21" i="4" s="1"/>
  <c r="KX22" i="4"/>
  <c r="KY22" i="4" s="1"/>
  <c r="KX23" i="4"/>
  <c r="KY23" i="4" s="1"/>
  <c r="KX24" i="4"/>
  <c r="KY24" i="4" s="1"/>
  <c r="KX25" i="4"/>
  <c r="KY25" i="4" s="1"/>
  <c r="KX26" i="4"/>
  <c r="KY26" i="4" s="1"/>
  <c r="KX27" i="4"/>
  <c r="KY27" i="4" s="1"/>
  <c r="KX28" i="4"/>
  <c r="KY28" i="4" s="1"/>
  <c r="KX29" i="4"/>
  <c r="KY29" i="4" s="1"/>
  <c r="KX30" i="4"/>
  <c r="KY30" i="4" s="1"/>
  <c r="KX3" i="4"/>
  <c r="KY3" i="4" s="1"/>
  <c r="KU4" i="4"/>
  <c r="KU5" i="4"/>
  <c r="KU6" i="4"/>
  <c r="KU7" i="4"/>
  <c r="KU8" i="4"/>
  <c r="KU9" i="4"/>
  <c r="KU10" i="4"/>
  <c r="KU11" i="4"/>
  <c r="KU12" i="4"/>
  <c r="KU13" i="4"/>
  <c r="KU14" i="4"/>
  <c r="KU15" i="4"/>
  <c r="KU16" i="4"/>
  <c r="KU17" i="4"/>
  <c r="KU18" i="4"/>
  <c r="KU19" i="4"/>
  <c r="KU20" i="4"/>
  <c r="KU21" i="4"/>
  <c r="KU22" i="4"/>
  <c r="KU23" i="4"/>
  <c r="KU24" i="4"/>
  <c r="KU25" i="4"/>
  <c r="KU26" i="4"/>
  <c r="KU27" i="4"/>
  <c r="KU28" i="4"/>
  <c r="KU29" i="4"/>
  <c r="KU30" i="4"/>
  <c r="KU3" i="4"/>
  <c r="KV3" i="4" s="1"/>
  <c r="KS4" i="4"/>
  <c r="KS5" i="4"/>
  <c r="KS6" i="4"/>
  <c r="KS7" i="4"/>
  <c r="KS8" i="4"/>
  <c r="KS9" i="4"/>
  <c r="KS10" i="4"/>
  <c r="KS11" i="4"/>
  <c r="KS12" i="4"/>
  <c r="KS13" i="4"/>
  <c r="KS14" i="4"/>
  <c r="KS15" i="4"/>
  <c r="KS16" i="4"/>
  <c r="KS17" i="4"/>
  <c r="KS18" i="4"/>
  <c r="KS19" i="4"/>
  <c r="KS20" i="4"/>
  <c r="KS21" i="4"/>
  <c r="KS22" i="4"/>
  <c r="KS23" i="4"/>
  <c r="KS24" i="4"/>
  <c r="KS25" i="4"/>
  <c r="KS26" i="4"/>
  <c r="KS27" i="4"/>
  <c r="KS28" i="4"/>
  <c r="KS29" i="4"/>
  <c r="KS30" i="4"/>
  <c r="KO4" i="4"/>
  <c r="KO5" i="4"/>
  <c r="KO6" i="4"/>
  <c r="KO7" i="4"/>
  <c r="KO8" i="4"/>
  <c r="KO9" i="4"/>
  <c r="KO10" i="4"/>
  <c r="KO11" i="4"/>
  <c r="KO12" i="4"/>
  <c r="KO13" i="4"/>
  <c r="KO14" i="4"/>
  <c r="KO15" i="4"/>
  <c r="KO16" i="4"/>
  <c r="KO17" i="4"/>
  <c r="KO18" i="4"/>
  <c r="KO19" i="4"/>
  <c r="KO20" i="4"/>
  <c r="KO21" i="4"/>
  <c r="KO22" i="4"/>
  <c r="KO23" i="4"/>
  <c r="KO24" i="4"/>
  <c r="KO25" i="4"/>
  <c r="KO26" i="4"/>
  <c r="KO27" i="4"/>
  <c r="KO28" i="4"/>
  <c r="KO29" i="4"/>
  <c r="KO30" i="4"/>
  <c r="KO3" i="4"/>
  <c r="KN3" i="4"/>
  <c r="KN13" i="4"/>
  <c r="KN4" i="4"/>
  <c r="KN5" i="4"/>
  <c r="KN6" i="4"/>
  <c r="KN7" i="4"/>
  <c r="KN8" i="4"/>
  <c r="KN9" i="4"/>
  <c r="KN10" i="4"/>
  <c r="KN11" i="4"/>
  <c r="KN12" i="4"/>
  <c r="KN14" i="4"/>
  <c r="KN15" i="4"/>
  <c r="KN16" i="4"/>
  <c r="KN17" i="4"/>
  <c r="KN18" i="4"/>
  <c r="KN19" i="4"/>
  <c r="KN20" i="4"/>
  <c r="KN21" i="4"/>
  <c r="KN22" i="4"/>
  <c r="KN24" i="4"/>
  <c r="KN25" i="4"/>
  <c r="KN26" i="4"/>
  <c r="KN27" i="4"/>
  <c r="KN28" i="4"/>
  <c r="KN29" i="4"/>
  <c r="KN30" i="4"/>
  <c r="KL4" i="4"/>
  <c r="KL5" i="4"/>
  <c r="KL6" i="4"/>
  <c r="KL7" i="4"/>
  <c r="KL8" i="4"/>
  <c r="KL9" i="4"/>
  <c r="KL10" i="4"/>
  <c r="KL11" i="4"/>
  <c r="KL12" i="4"/>
  <c r="KL13" i="4"/>
  <c r="KL14" i="4"/>
  <c r="KL15" i="4"/>
  <c r="KL16" i="4"/>
  <c r="KL17" i="4"/>
  <c r="KL18" i="4"/>
  <c r="KL19" i="4"/>
  <c r="KL20" i="4"/>
  <c r="KL21" i="4"/>
  <c r="KL22" i="4"/>
  <c r="KL23" i="4"/>
  <c r="KL24" i="4"/>
  <c r="KL25" i="4"/>
  <c r="KL26" i="4"/>
  <c r="KL27" i="4"/>
  <c r="KL28" i="4"/>
  <c r="KL29" i="4"/>
  <c r="KL30" i="4"/>
  <c r="KL3" i="4"/>
  <c r="KI8" i="4"/>
  <c r="KJ8" i="4" s="1"/>
  <c r="KI4" i="4"/>
  <c r="KJ4" i="4" s="1"/>
  <c r="KI5" i="4"/>
  <c r="KJ5" i="4" s="1"/>
  <c r="KI6" i="4"/>
  <c r="KJ6" i="4" s="1"/>
  <c r="KI7" i="4"/>
  <c r="KJ7" i="4" s="1"/>
  <c r="KI9" i="4"/>
  <c r="KJ9" i="4" s="1"/>
  <c r="KI10" i="4"/>
  <c r="KJ10" i="4" s="1"/>
  <c r="KI11" i="4"/>
  <c r="KJ11" i="4" s="1"/>
  <c r="KI12" i="4"/>
  <c r="KJ12" i="4" s="1"/>
  <c r="KI13" i="4"/>
  <c r="KJ13" i="4" s="1"/>
  <c r="KI14" i="4"/>
  <c r="KJ14" i="4" s="1"/>
  <c r="KI15" i="4"/>
  <c r="KJ15" i="4" s="1"/>
  <c r="KI16" i="4"/>
  <c r="KJ16" i="4" s="1"/>
  <c r="KI17" i="4"/>
  <c r="KJ17" i="4" s="1"/>
  <c r="KI18" i="4"/>
  <c r="KJ18" i="4" s="1"/>
  <c r="KI19" i="4"/>
  <c r="KJ19" i="4" s="1"/>
  <c r="KI20" i="4"/>
  <c r="KJ20" i="4" s="1"/>
  <c r="KI21" i="4"/>
  <c r="KJ21" i="4" s="1"/>
  <c r="KI22" i="4"/>
  <c r="KJ22" i="4" s="1"/>
  <c r="KI23" i="4"/>
  <c r="KJ23" i="4" s="1"/>
  <c r="KI24" i="4"/>
  <c r="KJ24" i="4" s="1"/>
  <c r="KI25" i="4"/>
  <c r="KJ25" i="4" s="1"/>
  <c r="KI26" i="4"/>
  <c r="KJ26" i="4" s="1"/>
  <c r="KI27" i="4"/>
  <c r="KJ27" i="4" s="1"/>
  <c r="KI28" i="4"/>
  <c r="KJ28" i="4" s="1"/>
  <c r="KI29" i="4"/>
  <c r="KJ29" i="4" s="1"/>
  <c r="KI30" i="4"/>
  <c r="KJ30" i="4" s="1"/>
  <c r="KI3" i="4"/>
  <c r="KJ3" i="4" s="1"/>
  <c r="KF21" i="4"/>
  <c r="KG21" i="4" s="1"/>
  <c r="KF4" i="4"/>
  <c r="KF5" i="4"/>
  <c r="KG5" i="4" s="1"/>
  <c r="KF6" i="4"/>
  <c r="KG6" i="4" s="1"/>
  <c r="KF7" i="4"/>
  <c r="KG7" i="4" s="1"/>
  <c r="KF8" i="4"/>
  <c r="KG8" i="4" s="1"/>
  <c r="KF9" i="4"/>
  <c r="KG9" i="4" s="1"/>
  <c r="KF10" i="4"/>
  <c r="KG10" i="4" s="1"/>
  <c r="KF11" i="4"/>
  <c r="KG11" i="4" s="1"/>
  <c r="KF12" i="4"/>
  <c r="KG12" i="4" s="1"/>
  <c r="KF13" i="4"/>
  <c r="KG13" i="4" s="1"/>
  <c r="KF14" i="4"/>
  <c r="KG14" i="4" s="1"/>
  <c r="KF15" i="4"/>
  <c r="KG15" i="4" s="1"/>
  <c r="KF16" i="4"/>
  <c r="KG16" i="4" s="1"/>
  <c r="KF17" i="4"/>
  <c r="KG17" i="4" s="1"/>
  <c r="KF18" i="4"/>
  <c r="KG18" i="4" s="1"/>
  <c r="KF19" i="4"/>
  <c r="KG19" i="4" s="1"/>
  <c r="KF20" i="4"/>
  <c r="KF22" i="4"/>
  <c r="KF23" i="4"/>
  <c r="KF24" i="4"/>
  <c r="KF25" i="4"/>
  <c r="KF26" i="4"/>
  <c r="KF27" i="4"/>
  <c r="KF28" i="4"/>
  <c r="KF29" i="4"/>
  <c r="KF30" i="4"/>
  <c r="KD3" i="4"/>
  <c r="KG3" i="4" s="1"/>
  <c r="JZ4" i="4"/>
  <c r="JZ5" i="4"/>
  <c r="JZ6" i="4"/>
  <c r="JZ7" i="4"/>
  <c r="JZ8" i="4"/>
  <c r="JZ9" i="4"/>
  <c r="JZ10" i="4"/>
  <c r="JZ11" i="4"/>
  <c r="JZ12" i="4"/>
  <c r="JZ13" i="4"/>
  <c r="JZ14" i="4"/>
  <c r="JZ15" i="4"/>
  <c r="JZ16" i="4"/>
  <c r="JZ17" i="4"/>
  <c r="JZ18" i="4"/>
  <c r="JZ19" i="4"/>
  <c r="JZ20" i="4"/>
  <c r="JZ21" i="4"/>
  <c r="JZ22" i="4"/>
  <c r="JZ23" i="4"/>
  <c r="JZ24" i="4"/>
  <c r="JZ25" i="4"/>
  <c r="JZ26" i="4"/>
  <c r="JZ27" i="4"/>
  <c r="JZ28" i="4"/>
  <c r="JZ29" i="4"/>
  <c r="JZ30" i="4"/>
  <c r="JZ3" i="4"/>
  <c r="JK3" i="4"/>
  <c r="JY4" i="4"/>
  <c r="JY5" i="4"/>
  <c r="JY6" i="4"/>
  <c r="JY7" i="4"/>
  <c r="JY8" i="4"/>
  <c r="JY9" i="4"/>
  <c r="JY10" i="4"/>
  <c r="JY11" i="4"/>
  <c r="JY12" i="4"/>
  <c r="JY13" i="4"/>
  <c r="JY14" i="4"/>
  <c r="JY15" i="4"/>
  <c r="JY16" i="4"/>
  <c r="JY17" i="4"/>
  <c r="JY18" i="4"/>
  <c r="JY19" i="4"/>
  <c r="JY20" i="4"/>
  <c r="JY21" i="4"/>
  <c r="JY22" i="4"/>
  <c r="JY23" i="4"/>
  <c r="JY24" i="4"/>
  <c r="JY25" i="4"/>
  <c r="JY26" i="4"/>
  <c r="JY27" i="4"/>
  <c r="JY28" i="4"/>
  <c r="JY29" i="4"/>
  <c r="JY30" i="4"/>
  <c r="JY3" i="4"/>
  <c r="JW3" i="4"/>
  <c r="JT4" i="4"/>
  <c r="JU4" i="4" s="1"/>
  <c r="JT5" i="4"/>
  <c r="JU5" i="4" s="1"/>
  <c r="JT6" i="4"/>
  <c r="JU6" i="4" s="1"/>
  <c r="JT7" i="4"/>
  <c r="JU7" i="4" s="1"/>
  <c r="JT8" i="4"/>
  <c r="JU8" i="4" s="1"/>
  <c r="JT9" i="4"/>
  <c r="JU9" i="4" s="1"/>
  <c r="JT10" i="4"/>
  <c r="JU10" i="4" s="1"/>
  <c r="JT11" i="4"/>
  <c r="JU11" i="4" s="1"/>
  <c r="JT12" i="4"/>
  <c r="JU12" i="4" s="1"/>
  <c r="JT13" i="4"/>
  <c r="JU13" i="4" s="1"/>
  <c r="JT14" i="4"/>
  <c r="JU14" i="4" s="1"/>
  <c r="JT15" i="4"/>
  <c r="JU15" i="4" s="1"/>
  <c r="JT16" i="4"/>
  <c r="JU16" i="4" s="1"/>
  <c r="JT17" i="4"/>
  <c r="JU17" i="4" s="1"/>
  <c r="JT18" i="4"/>
  <c r="JU18" i="4" s="1"/>
  <c r="JT19" i="4"/>
  <c r="JU19" i="4" s="1"/>
  <c r="JT20" i="4"/>
  <c r="JU20" i="4" s="1"/>
  <c r="JT21" i="4"/>
  <c r="JU21" i="4" s="1"/>
  <c r="JT22" i="4"/>
  <c r="JU22" i="4" s="1"/>
  <c r="JT23" i="4"/>
  <c r="JU23" i="4" s="1"/>
  <c r="JT24" i="4"/>
  <c r="JU24" i="4" s="1"/>
  <c r="JT25" i="4"/>
  <c r="JU25" i="4" s="1"/>
  <c r="JT26" i="4"/>
  <c r="JU26" i="4" s="1"/>
  <c r="JT27" i="4"/>
  <c r="JU27" i="4" s="1"/>
  <c r="JT28" i="4"/>
  <c r="JU28" i="4" s="1"/>
  <c r="JT29" i="4"/>
  <c r="JU29" i="4" s="1"/>
  <c r="JT30" i="4"/>
  <c r="JU30" i="4" s="1"/>
  <c r="JT3" i="4"/>
  <c r="JU3" i="4" s="1"/>
  <c r="JQ4" i="4"/>
  <c r="JQ5" i="4"/>
  <c r="JQ6" i="4"/>
  <c r="JQ7" i="4"/>
  <c r="JQ8" i="4"/>
  <c r="JQ9" i="4"/>
  <c r="JQ10" i="4"/>
  <c r="JQ11" i="4"/>
  <c r="JQ12" i="4"/>
  <c r="JQ13" i="4"/>
  <c r="JQ14" i="4"/>
  <c r="JQ15" i="4"/>
  <c r="JQ16" i="4"/>
  <c r="JQ17" i="4"/>
  <c r="JQ18" i="4"/>
  <c r="JQ19" i="4"/>
  <c r="JQ20" i="4"/>
  <c r="JQ21" i="4"/>
  <c r="JQ22" i="4"/>
  <c r="JQ23" i="4"/>
  <c r="JQ24" i="4"/>
  <c r="JQ25" i="4"/>
  <c r="JQ26" i="4"/>
  <c r="JQ27" i="4"/>
  <c r="JQ28" i="4"/>
  <c r="JQ29" i="4"/>
  <c r="JQ30" i="4"/>
  <c r="JO4" i="4"/>
  <c r="JO5" i="4"/>
  <c r="JO6" i="4"/>
  <c r="JO7" i="4"/>
  <c r="JO8" i="4"/>
  <c r="JO9" i="4"/>
  <c r="JO10" i="4"/>
  <c r="JO11" i="4"/>
  <c r="JO12" i="4"/>
  <c r="JO13" i="4"/>
  <c r="JO14" i="4"/>
  <c r="JO15" i="4"/>
  <c r="JO16" i="4"/>
  <c r="JO17" i="4"/>
  <c r="JO18" i="4"/>
  <c r="JO19" i="4"/>
  <c r="JO20" i="4"/>
  <c r="JO21" i="4"/>
  <c r="JO22" i="4"/>
  <c r="JO23" i="4"/>
  <c r="JO24" i="4"/>
  <c r="JO25" i="4"/>
  <c r="JO26" i="4"/>
  <c r="JO27" i="4"/>
  <c r="JO28" i="4"/>
  <c r="JO29" i="4"/>
  <c r="JO30" i="4"/>
  <c r="JO3" i="4"/>
  <c r="JK20" i="4"/>
  <c r="JK14" i="4"/>
  <c r="JK4" i="4"/>
  <c r="JK5" i="4"/>
  <c r="JK6" i="4"/>
  <c r="JK7" i="4"/>
  <c r="JK8" i="4"/>
  <c r="JK9" i="4"/>
  <c r="JK10" i="4"/>
  <c r="JK11" i="4"/>
  <c r="JK12" i="4"/>
  <c r="JK13" i="4"/>
  <c r="JK15" i="4"/>
  <c r="JK16" i="4"/>
  <c r="JK17" i="4"/>
  <c r="JK18" i="4"/>
  <c r="JK19" i="4"/>
  <c r="JK21" i="4"/>
  <c r="JK22" i="4"/>
  <c r="JK23" i="4"/>
  <c r="JK24" i="4"/>
  <c r="JK25" i="4"/>
  <c r="JK26" i="4"/>
  <c r="JK27" i="4"/>
  <c r="JK28" i="4"/>
  <c r="JK29" i="4"/>
  <c r="JK30" i="4"/>
  <c r="JJ13" i="4"/>
  <c r="JJ3" i="4"/>
  <c r="JJ4" i="4"/>
  <c r="JJ5" i="4"/>
  <c r="JJ6" i="4"/>
  <c r="JJ7" i="4"/>
  <c r="JJ8" i="4"/>
  <c r="JJ9" i="4"/>
  <c r="JJ10" i="4"/>
  <c r="JJ11" i="4"/>
  <c r="JJ12" i="4"/>
  <c r="JJ14" i="4"/>
  <c r="JJ15" i="4"/>
  <c r="JJ16" i="4"/>
  <c r="JJ17" i="4"/>
  <c r="JJ18" i="4"/>
  <c r="JJ19" i="4"/>
  <c r="JJ20" i="4"/>
  <c r="JJ21" i="4"/>
  <c r="JJ22" i="4"/>
  <c r="JJ23" i="4"/>
  <c r="JJ24" i="4"/>
  <c r="JJ25" i="4"/>
  <c r="JJ26" i="4"/>
  <c r="JJ27" i="4"/>
  <c r="JJ28" i="4"/>
  <c r="JJ29" i="4"/>
  <c r="JJ30" i="4"/>
  <c r="JH4" i="4"/>
  <c r="JH5" i="4"/>
  <c r="JH6" i="4"/>
  <c r="JH8" i="4"/>
  <c r="JH9" i="4"/>
  <c r="JH10" i="4"/>
  <c r="JH11" i="4"/>
  <c r="JH12" i="4"/>
  <c r="JH13" i="4"/>
  <c r="JH14" i="4"/>
  <c r="JH15" i="4"/>
  <c r="JH16" i="4"/>
  <c r="JH17" i="4"/>
  <c r="JH18" i="4"/>
  <c r="JH19" i="4"/>
  <c r="JH21" i="4"/>
  <c r="JH22" i="4"/>
  <c r="JH23" i="4"/>
  <c r="JH24" i="4"/>
  <c r="JH25" i="4"/>
  <c r="JH26" i="4"/>
  <c r="JH27" i="4"/>
  <c r="JH28" i="4"/>
  <c r="JH29" i="4"/>
  <c r="JH30" i="4"/>
  <c r="JH3" i="4"/>
  <c r="JE4" i="4"/>
  <c r="JF4" i="4" s="1"/>
  <c r="JE5" i="4"/>
  <c r="JF5" i="4" s="1"/>
  <c r="JE6" i="4"/>
  <c r="JF6" i="4" s="1"/>
  <c r="JE7" i="4"/>
  <c r="JF7" i="4" s="1"/>
  <c r="JE8" i="4"/>
  <c r="JF8" i="4" s="1"/>
  <c r="JE9" i="4"/>
  <c r="JF9" i="4" s="1"/>
  <c r="JE10" i="4"/>
  <c r="JF10" i="4" s="1"/>
  <c r="JE11" i="4"/>
  <c r="JF11" i="4" s="1"/>
  <c r="JE12" i="4"/>
  <c r="JF12" i="4" s="1"/>
  <c r="JE13" i="4"/>
  <c r="JF13" i="4" s="1"/>
  <c r="JE14" i="4"/>
  <c r="JF14" i="4" s="1"/>
  <c r="JE15" i="4"/>
  <c r="JF15" i="4" s="1"/>
  <c r="JE16" i="4"/>
  <c r="JF16" i="4" s="1"/>
  <c r="JE17" i="4"/>
  <c r="JF17" i="4" s="1"/>
  <c r="JE18" i="4"/>
  <c r="JF18" i="4" s="1"/>
  <c r="JE19" i="4"/>
  <c r="JF19" i="4" s="1"/>
  <c r="JE20" i="4"/>
  <c r="JF20" i="4" s="1"/>
  <c r="JE21" i="4"/>
  <c r="JF21" i="4" s="1"/>
  <c r="JE22" i="4"/>
  <c r="JF22" i="4" s="1"/>
  <c r="JE23" i="4"/>
  <c r="JF23" i="4" s="1"/>
  <c r="JE24" i="4"/>
  <c r="JF24" i="4" s="1"/>
  <c r="JE25" i="4"/>
  <c r="JF25" i="4" s="1"/>
  <c r="JE26" i="4"/>
  <c r="JF26" i="4" s="1"/>
  <c r="JE27" i="4"/>
  <c r="JF27" i="4" s="1"/>
  <c r="JE28" i="4"/>
  <c r="JF28" i="4" s="1"/>
  <c r="JE29" i="4"/>
  <c r="JF29" i="4" s="1"/>
  <c r="JE30" i="4"/>
  <c r="JF30" i="4" s="1"/>
  <c r="JE3" i="4"/>
  <c r="JF3" i="4" s="1"/>
  <c r="JB4" i="4"/>
  <c r="JB5" i="4"/>
  <c r="JB6" i="4"/>
  <c r="JB7" i="4"/>
  <c r="JB8" i="4"/>
  <c r="JB9" i="4"/>
  <c r="JB10" i="4"/>
  <c r="JB11" i="4"/>
  <c r="JB12" i="4"/>
  <c r="JB13" i="4"/>
  <c r="JB14" i="4"/>
  <c r="JB15" i="4"/>
  <c r="JB16" i="4"/>
  <c r="JB17" i="4"/>
  <c r="JB18" i="4"/>
  <c r="JB19" i="4"/>
  <c r="JB20" i="4"/>
  <c r="JC20" i="4" s="1"/>
  <c r="JB21" i="4"/>
  <c r="JB22" i="4"/>
  <c r="JB23" i="4"/>
  <c r="JB24" i="4"/>
  <c r="JB25" i="4"/>
  <c r="JB26" i="4"/>
  <c r="JB27" i="4"/>
  <c r="JB28" i="4"/>
  <c r="JB29" i="4"/>
  <c r="JB30" i="4"/>
  <c r="JB3" i="4"/>
  <c r="IZ29" i="4"/>
  <c r="IZ4" i="4"/>
  <c r="IZ5" i="4"/>
  <c r="IZ6" i="4"/>
  <c r="IZ7" i="4"/>
  <c r="IZ8" i="4"/>
  <c r="IZ9" i="4"/>
  <c r="IZ10" i="4"/>
  <c r="IZ11" i="4"/>
  <c r="IZ12" i="4"/>
  <c r="IZ13" i="4"/>
  <c r="IZ14" i="4"/>
  <c r="IZ15" i="4"/>
  <c r="IZ16" i="4"/>
  <c r="IZ17" i="4"/>
  <c r="IZ18" i="4"/>
  <c r="IZ19" i="4"/>
  <c r="IZ21" i="4"/>
  <c r="IZ22" i="4"/>
  <c r="IZ23" i="4"/>
  <c r="IZ24" i="4"/>
  <c r="IZ25" i="4"/>
  <c r="IZ26" i="4"/>
  <c r="IZ27" i="4"/>
  <c r="IZ28" i="4"/>
  <c r="IZ30" i="4"/>
  <c r="IZ3" i="4"/>
  <c r="IV4" i="4"/>
  <c r="IV5" i="4"/>
  <c r="IV6" i="4"/>
  <c r="IV7" i="4"/>
  <c r="IV8" i="4"/>
  <c r="IV9" i="4"/>
  <c r="IV10" i="4"/>
  <c r="IV11" i="4"/>
  <c r="IV12" i="4"/>
  <c r="IV13" i="4"/>
  <c r="IV14" i="4"/>
  <c r="IV15" i="4"/>
  <c r="IV16" i="4"/>
  <c r="IV17" i="4"/>
  <c r="IV18" i="4"/>
  <c r="IV19" i="4"/>
  <c r="IV20" i="4"/>
  <c r="IV21" i="4"/>
  <c r="IV22" i="4"/>
  <c r="IV23" i="4"/>
  <c r="IV24" i="4"/>
  <c r="IV25" i="4"/>
  <c r="IV26" i="4"/>
  <c r="IV27" i="4"/>
  <c r="IV28" i="4"/>
  <c r="IV29" i="4"/>
  <c r="IV30" i="4"/>
  <c r="IV3" i="4"/>
  <c r="IU4" i="4"/>
  <c r="IU5" i="4"/>
  <c r="IU6" i="4"/>
  <c r="IU7" i="4"/>
  <c r="IU8" i="4"/>
  <c r="IU9" i="4"/>
  <c r="IU10" i="4"/>
  <c r="IU11" i="4"/>
  <c r="IU12" i="4"/>
  <c r="IU13" i="4"/>
  <c r="IU14" i="4"/>
  <c r="IU15" i="4"/>
  <c r="IU16" i="4"/>
  <c r="IU17" i="4"/>
  <c r="IU18" i="4"/>
  <c r="IU19" i="4"/>
  <c r="IU20" i="4"/>
  <c r="IU21" i="4"/>
  <c r="IU22" i="4"/>
  <c r="IU23" i="4"/>
  <c r="IU24" i="4"/>
  <c r="IU25" i="4"/>
  <c r="IU26" i="4"/>
  <c r="IU27" i="4"/>
  <c r="IU28" i="4"/>
  <c r="IU29" i="4"/>
  <c r="IU30" i="4"/>
  <c r="IU3" i="4"/>
  <c r="IS4" i="4"/>
  <c r="IS5" i="4"/>
  <c r="IS6" i="4"/>
  <c r="IS7" i="4"/>
  <c r="IS8" i="4"/>
  <c r="IS9" i="4"/>
  <c r="IS10" i="4"/>
  <c r="IS11" i="4"/>
  <c r="IS12" i="4"/>
  <c r="IS13" i="4"/>
  <c r="IS14" i="4"/>
  <c r="IS15" i="4"/>
  <c r="IS16" i="4"/>
  <c r="IS17" i="4"/>
  <c r="IS18" i="4"/>
  <c r="IS19" i="4"/>
  <c r="IS20" i="4"/>
  <c r="IS21" i="4"/>
  <c r="IS22" i="4"/>
  <c r="IS23" i="4"/>
  <c r="IS24" i="4"/>
  <c r="IS25" i="4"/>
  <c r="IS26" i="4"/>
  <c r="IS27" i="4"/>
  <c r="IS28" i="4"/>
  <c r="IS29" i="4"/>
  <c r="IS30" i="4"/>
  <c r="IS3" i="4"/>
  <c r="IP3" i="4"/>
  <c r="IQ3" i="4" s="1"/>
  <c r="IP4" i="4"/>
  <c r="IQ4" i="4" s="1"/>
  <c r="IP5" i="4"/>
  <c r="IQ5" i="4" s="1"/>
  <c r="IP6" i="4"/>
  <c r="IQ6" i="4" s="1"/>
  <c r="IP7" i="4"/>
  <c r="IQ7" i="4" s="1"/>
  <c r="IP8" i="4"/>
  <c r="IQ8" i="4" s="1"/>
  <c r="IP9" i="4"/>
  <c r="IQ9" i="4" s="1"/>
  <c r="IP10" i="4"/>
  <c r="IQ10" i="4" s="1"/>
  <c r="IP11" i="4"/>
  <c r="IQ11" i="4" s="1"/>
  <c r="IP12" i="4"/>
  <c r="IQ12" i="4" s="1"/>
  <c r="IP13" i="4"/>
  <c r="IQ13" i="4" s="1"/>
  <c r="IP14" i="4"/>
  <c r="IQ14" i="4" s="1"/>
  <c r="IP15" i="4"/>
  <c r="IQ15" i="4" s="1"/>
  <c r="IP16" i="4"/>
  <c r="IQ16" i="4" s="1"/>
  <c r="IP17" i="4"/>
  <c r="IQ17" i="4" s="1"/>
  <c r="IP18" i="4"/>
  <c r="IQ18" i="4" s="1"/>
  <c r="IP19" i="4"/>
  <c r="IQ19" i="4" s="1"/>
  <c r="IP20" i="4"/>
  <c r="IQ20" i="4" s="1"/>
  <c r="IP21" i="4"/>
  <c r="IQ21" i="4" s="1"/>
  <c r="IP22" i="4"/>
  <c r="IQ22" i="4" s="1"/>
  <c r="IP23" i="4"/>
  <c r="IQ23" i="4" s="1"/>
  <c r="IP24" i="4"/>
  <c r="IQ24" i="4" s="1"/>
  <c r="IP25" i="4"/>
  <c r="IQ25" i="4" s="1"/>
  <c r="IP26" i="4"/>
  <c r="IQ26" i="4" s="1"/>
  <c r="IP27" i="4"/>
  <c r="IQ27" i="4" s="1"/>
  <c r="IP28" i="4"/>
  <c r="IQ28" i="4" s="1"/>
  <c r="IP29" i="4"/>
  <c r="IQ29" i="4" s="1"/>
  <c r="IP30" i="4"/>
  <c r="IQ30" i="4" s="1"/>
  <c r="IM4" i="4"/>
  <c r="IM5" i="4"/>
  <c r="IM6" i="4"/>
  <c r="IM7" i="4"/>
  <c r="IM8" i="4"/>
  <c r="IM9" i="4"/>
  <c r="IM10" i="4"/>
  <c r="IM11" i="4"/>
  <c r="IM12" i="4"/>
  <c r="IM13" i="4"/>
  <c r="IM14" i="4"/>
  <c r="IM15" i="4"/>
  <c r="IM16" i="4"/>
  <c r="IM17" i="4"/>
  <c r="IM18" i="4"/>
  <c r="IM19" i="4"/>
  <c r="IM20" i="4"/>
  <c r="IM21" i="4"/>
  <c r="IM22" i="4"/>
  <c r="IM23" i="4"/>
  <c r="IM24" i="4"/>
  <c r="IM25" i="4"/>
  <c r="IM26" i="4"/>
  <c r="IM27" i="4"/>
  <c r="IM28" i="4"/>
  <c r="IM29" i="4"/>
  <c r="IM30" i="4"/>
  <c r="IM3" i="4"/>
  <c r="IK4" i="4"/>
  <c r="IK5" i="4"/>
  <c r="IK6" i="4"/>
  <c r="IK7" i="4"/>
  <c r="IK8" i="4"/>
  <c r="IK9" i="4"/>
  <c r="IK10" i="4"/>
  <c r="IK11" i="4"/>
  <c r="IK12" i="4"/>
  <c r="IK13" i="4"/>
  <c r="IK14" i="4"/>
  <c r="IK15" i="4"/>
  <c r="IK16" i="4"/>
  <c r="IK17" i="4"/>
  <c r="IK18" i="4"/>
  <c r="IK19" i="4"/>
  <c r="IK20" i="4"/>
  <c r="IK21" i="4"/>
  <c r="IK22" i="4"/>
  <c r="IK23" i="4"/>
  <c r="IK24" i="4"/>
  <c r="IK25" i="4"/>
  <c r="IK26" i="4"/>
  <c r="IK27" i="4"/>
  <c r="IK28" i="4"/>
  <c r="IK29" i="4"/>
  <c r="IK30" i="4"/>
  <c r="IK3" i="4"/>
  <c r="IG4" i="4"/>
  <c r="IG5" i="4"/>
  <c r="IG6" i="4"/>
  <c r="IG7" i="4"/>
  <c r="IG8" i="4"/>
  <c r="IG9" i="4"/>
  <c r="IG10" i="4"/>
  <c r="IG11" i="4"/>
  <c r="IG12" i="4"/>
  <c r="IG13" i="4"/>
  <c r="IG14" i="4"/>
  <c r="IG15" i="4"/>
  <c r="IG16" i="4"/>
  <c r="IG17" i="4"/>
  <c r="IG18" i="4"/>
  <c r="IG19" i="4"/>
  <c r="IG20" i="4"/>
  <c r="IG21" i="4"/>
  <c r="IG22" i="4"/>
  <c r="IG23" i="4"/>
  <c r="IG24" i="4"/>
  <c r="IG25" i="4"/>
  <c r="IG26" i="4"/>
  <c r="IG27" i="4"/>
  <c r="IG28" i="4"/>
  <c r="IG29" i="4"/>
  <c r="IG30" i="4"/>
  <c r="IG3" i="4"/>
  <c r="IF4" i="4"/>
  <c r="IF5" i="4"/>
  <c r="IF6" i="4"/>
  <c r="IF7" i="4"/>
  <c r="IF8" i="4"/>
  <c r="IF9" i="4"/>
  <c r="IF10" i="4"/>
  <c r="IF11" i="4"/>
  <c r="IF12" i="4"/>
  <c r="IF13" i="4"/>
  <c r="IF14" i="4"/>
  <c r="IF15" i="4"/>
  <c r="IF16" i="4"/>
  <c r="IF17" i="4"/>
  <c r="IF18" i="4"/>
  <c r="IF19" i="4"/>
  <c r="IF20" i="4"/>
  <c r="IF21" i="4"/>
  <c r="IF22" i="4"/>
  <c r="IF23" i="4"/>
  <c r="IF24" i="4"/>
  <c r="IF25" i="4"/>
  <c r="IF26" i="4"/>
  <c r="IF27" i="4"/>
  <c r="IF28" i="4"/>
  <c r="IF29" i="4"/>
  <c r="IF30" i="4"/>
  <c r="IF3" i="4"/>
  <c r="ID13" i="4"/>
  <c r="ID9" i="4"/>
  <c r="ID4" i="4"/>
  <c r="ID5" i="4"/>
  <c r="ID6" i="4"/>
  <c r="ID7" i="4"/>
  <c r="ID8" i="4"/>
  <c r="ID10" i="4"/>
  <c r="ID11" i="4"/>
  <c r="ID12" i="4"/>
  <c r="ID14" i="4"/>
  <c r="ID15" i="4"/>
  <c r="ID16" i="4"/>
  <c r="ID17" i="4"/>
  <c r="ID18" i="4"/>
  <c r="ID19" i="4"/>
  <c r="ID20" i="4"/>
  <c r="ID21" i="4"/>
  <c r="ID22" i="4"/>
  <c r="ID23" i="4"/>
  <c r="ID24" i="4"/>
  <c r="ID25" i="4"/>
  <c r="ID26" i="4"/>
  <c r="ID27" i="4"/>
  <c r="ID28" i="4"/>
  <c r="ID29" i="4"/>
  <c r="ID30" i="4"/>
  <c r="ID3" i="4"/>
  <c r="IA3" i="4"/>
  <c r="IB3" i="4" s="1"/>
  <c r="HX4" i="4"/>
  <c r="HX5" i="4"/>
  <c r="HX6" i="4"/>
  <c r="HX7" i="4"/>
  <c r="HX8" i="4"/>
  <c r="HX9" i="4"/>
  <c r="HX10" i="4"/>
  <c r="HX11" i="4"/>
  <c r="HX12" i="4"/>
  <c r="HX13" i="4"/>
  <c r="HX14" i="4"/>
  <c r="HX15" i="4"/>
  <c r="HX16" i="4"/>
  <c r="HX17" i="4"/>
  <c r="HX18" i="4"/>
  <c r="HX19" i="4"/>
  <c r="HX20" i="4"/>
  <c r="HX21" i="4"/>
  <c r="HX22" i="4"/>
  <c r="HX23" i="4"/>
  <c r="HX24" i="4"/>
  <c r="HX25" i="4"/>
  <c r="HX26" i="4"/>
  <c r="HX27" i="4"/>
  <c r="HX28" i="4"/>
  <c r="HX29" i="4"/>
  <c r="HX30" i="4"/>
  <c r="HX3" i="4"/>
  <c r="HV4" i="4"/>
  <c r="HV5" i="4"/>
  <c r="HV6" i="4"/>
  <c r="HV7" i="4"/>
  <c r="HV8" i="4"/>
  <c r="HV9" i="4"/>
  <c r="HV10" i="4"/>
  <c r="HV11" i="4"/>
  <c r="HV12" i="4"/>
  <c r="HV13" i="4"/>
  <c r="HV14" i="4"/>
  <c r="HV15" i="4"/>
  <c r="HV16" i="4"/>
  <c r="HV17" i="4"/>
  <c r="HV18" i="4"/>
  <c r="HV19" i="4"/>
  <c r="HV20" i="4"/>
  <c r="HV21" i="4"/>
  <c r="HV22" i="4"/>
  <c r="HV23" i="4"/>
  <c r="HV24" i="4"/>
  <c r="HV25" i="4"/>
  <c r="HV26" i="4"/>
  <c r="HV27" i="4"/>
  <c r="HV28" i="4"/>
  <c r="HV29" i="4"/>
  <c r="HV30" i="4"/>
  <c r="HV3" i="4"/>
  <c r="HR4" i="4"/>
  <c r="HR5" i="4"/>
  <c r="HR6" i="4"/>
  <c r="HR7" i="4"/>
  <c r="HR8" i="4"/>
  <c r="HR9" i="4"/>
  <c r="HR10" i="4"/>
  <c r="HR11" i="4"/>
  <c r="HR12" i="4"/>
  <c r="HR13" i="4"/>
  <c r="HR14" i="4"/>
  <c r="HR15" i="4"/>
  <c r="HR16" i="4"/>
  <c r="HR17" i="4"/>
  <c r="HR18" i="4"/>
  <c r="HR19" i="4"/>
  <c r="HR20" i="4"/>
  <c r="HR21" i="4"/>
  <c r="HR22" i="4"/>
  <c r="HR23" i="4"/>
  <c r="HR24" i="4"/>
  <c r="HR25" i="4"/>
  <c r="HR26" i="4"/>
  <c r="HR27" i="4"/>
  <c r="HR28" i="4"/>
  <c r="HR29" i="4"/>
  <c r="HR30" i="4"/>
  <c r="HR3" i="4"/>
  <c r="HQ4" i="4"/>
  <c r="HQ5" i="4"/>
  <c r="HQ6" i="4"/>
  <c r="HQ7" i="4"/>
  <c r="HQ8" i="4"/>
  <c r="HQ9" i="4"/>
  <c r="HQ10" i="4"/>
  <c r="HQ11" i="4"/>
  <c r="HQ12" i="4"/>
  <c r="HQ13" i="4"/>
  <c r="HQ14" i="4"/>
  <c r="HQ15" i="4"/>
  <c r="HQ16" i="4"/>
  <c r="HQ17" i="4"/>
  <c r="HQ18" i="4"/>
  <c r="HQ19" i="4"/>
  <c r="HQ20" i="4"/>
  <c r="HQ21" i="4"/>
  <c r="HQ22" i="4"/>
  <c r="HQ23" i="4"/>
  <c r="HQ24" i="4"/>
  <c r="HQ25" i="4"/>
  <c r="HQ26" i="4"/>
  <c r="HQ27" i="4"/>
  <c r="HQ28" i="4"/>
  <c r="HQ29" i="4"/>
  <c r="HQ30" i="4"/>
  <c r="HQ3" i="4"/>
  <c r="HO4" i="4"/>
  <c r="HO5" i="4"/>
  <c r="HO6" i="4"/>
  <c r="HO7" i="4"/>
  <c r="HO8" i="4"/>
  <c r="HO9" i="4"/>
  <c r="HO10" i="4"/>
  <c r="HO11" i="4"/>
  <c r="HO12" i="4"/>
  <c r="HO13" i="4"/>
  <c r="HO14" i="4"/>
  <c r="HO15" i="4"/>
  <c r="HO16" i="4"/>
  <c r="HO17" i="4"/>
  <c r="HO18" i="4"/>
  <c r="HO19" i="4"/>
  <c r="HO20" i="4"/>
  <c r="HO21" i="4"/>
  <c r="HO22" i="4"/>
  <c r="HO23" i="4"/>
  <c r="HO24" i="4"/>
  <c r="HO25" i="4"/>
  <c r="HO26" i="4"/>
  <c r="HO27" i="4"/>
  <c r="HO28" i="4"/>
  <c r="HO29" i="4"/>
  <c r="HO30" i="4"/>
  <c r="HO3" i="4"/>
  <c r="HL4" i="4"/>
  <c r="HM4" i="4" s="1"/>
  <c r="HL5" i="4"/>
  <c r="HM5" i="4" s="1"/>
  <c r="HL6" i="4"/>
  <c r="HM6" i="4" s="1"/>
  <c r="HL7" i="4"/>
  <c r="HM7" i="4" s="1"/>
  <c r="HL8" i="4"/>
  <c r="HM8" i="4" s="1"/>
  <c r="HL9" i="4"/>
  <c r="HM9" i="4" s="1"/>
  <c r="HL10" i="4"/>
  <c r="HM10" i="4" s="1"/>
  <c r="HL11" i="4"/>
  <c r="HM11" i="4" s="1"/>
  <c r="HL12" i="4"/>
  <c r="HM12" i="4" s="1"/>
  <c r="HL13" i="4"/>
  <c r="HM13" i="4" s="1"/>
  <c r="HL14" i="4"/>
  <c r="HM14" i="4" s="1"/>
  <c r="HL15" i="4"/>
  <c r="HM15" i="4" s="1"/>
  <c r="HL16" i="4"/>
  <c r="HM16" i="4" s="1"/>
  <c r="HL17" i="4"/>
  <c r="HM17" i="4" s="1"/>
  <c r="HL18" i="4"/>
  <c r="HM18" i="4" s="1"/>
  <c r="HL19" i="4"/>
  <c r="HM19" i="4" s="1"/>
  <c r="HL20" i="4"/>
  <c r="HM20" i="4" s="1"/>
  <c r="HL21" i="4"/>
  <c r="HM21" i="4" s="1"/>
  <c r="HL22" i="4"/>
  <c r="HM22" i="4" s="1"/>
  <c r="HL23" i="4"/>
  <c r="HM23" i="4" s="1"/>
  <c r="HL24" i="4"/>
  <c r="HM24" i="4" s="1"/>
  <c r="HL25" i="4"/>
  <c r="HM25" i="4" s="1"/>
  <c r="HL26" i="4"/>
  <c r="HM26" i="4" s="1"/>
  <c r="HL27" i="4"/>
  <c r="HM27" i="4" s="1"/>
  <c r="HL28" i="4"/>
  <c r="HM28" i="4" s="1"/>
  <c r="HL29" i="4"/>
  <c r="HM29" i="4" s="1"/>
  <c r="HL30" i="4"/>
  <c r="HM30" i="4" s="1"/>
  <c r="HL3" i="4"/>
  <c r="HM3" i="4" s="1"/>
  <c r="HI4" i="4"/>
  <c r="HI5" i="4"/>
  <c r="HI6" i="4"/>
  <c r="HI7" i="4"/>
  <c r="HI8" i="4"/>
  <c r="HI9" i="4"/>
  <c r="HI10" i="4"/>
  <c r="HI11" i="4"/>
  <c r="HI12" i="4"/>
  <c r="HI13" i="4"/>
  <c r="HI14" i="4"/>
  <c r="HI15" i="4"/>
  <c r="HI16" i="4"/>
  <c r="HI17" i="4"/>
  <c r="HI18" i="4"/>
  <c r="HI19" i="4"/>
  <c r="HI20" i="4"/>
  <c r="HI21" i="4"/>
  <c r="HI22" i="4"/>
  <c r="HI23" i="4"/>
  <c r="HI24" i="4"/>
  <c r="HI25" i="4"/>
  <c r="HI26" i="4"/>
  <c r="HI27" i="4"/>
  <c r="HI28" i="4"/>
  <c r="HI29" i="4"/>
  <c r="HI30" i="4"/>
  <c r="HI3" i="4"/>
  <c r="HG4" i="4"/>
  <c r="HG5" i="4"/>
  <c r="HG6" i="4"/>
  <c r="HG7" i="4"/>
  <c r="HG8" i="4"/>
  <c r="HG9" i="4"/>
  <c r="HG10" i="4"/>
  <c r="HG11" i="4"/>
  <c r="HG12" i="4"/>
  <c r="HG13" i="4"/>
  <c r="HG14" i="4"/>
  <c r="HG15" i="4"/>
  <c r="HG16" i="4"/>
  <c r="HG17" i="4"/>
  <c r="HG18" i="4"/>
  <c r="HG19" i="4"/>
  <c r="HG20" i="4"/>
  <c r="HG21" i="4"/>
  <c r="HG22" i="4"/>
  <c r="HG23" i="4"/>
  <c r="HG24" i="4"/>
  <c r="HG25" i="4"/>
  <c r="HG26" i="4"/>
  <c r="HG27" i="4"/>
  <c r="HG28" i="4"/>
  <c r="HG29" i="4"/>
  <c r="HG30" i="4"/>
  <c r="HG3" i="4"/>
  <c r="HC5" i="4"/>
  <c r="HC6" i="4"/>
  <c r="HC8" i="4"/>
  <c r="HC9" i="4"/>
  <c r="HC10" i="4"/>
  <c r="HC11" i="4"/>
  <c r="HC12" i="4"/>
  <c r="HC13" i="4"/>
  <c r="HC14" i="4"/>
  <c r="HC15" i="4"/>
  <c r="HC16" i="4"/>
  <c r="HC17" i="4"/>
  <c r="HC18" i="4"/>
  <c r="HC19" i="4"/>
  <c r="HC20" i="4"/>
  <c r="HC21" i="4"/>
  <c r="HC22" i="4"/>
  <c r="HC23" i="4"/>
  <c r="HC24" i="4"/>
  <c r="HC25" i="4"/>
  <c r="HC26" i="4"/>
  <c r="HC27" i="4"/>
  <c r="HC28" i="4"/>
  <c r="HC29" i="4"/>
  <c r="HC30" i="4"/>
  <c r="HB4" i="4"/>
  <c r="HB5" i="4"/>
  <c r="HB6" i="4"/>
  <c r="HB7" i="4"/>
  <c r="HB8" i="4"/>
  <c r="HB9" i="4"/>
  <c r="HB10" i="4"/>
  <c r="HB11" i="4"/>
  <c r="HB12" i="4"/>
  <c r="HB13" i="4"/>
  <c r="HB14" i="4"/>
  <c r="HB15" i="4"/>
  <c r="HB16" i="4"/>
  <c r="HB17" i="4"/>
  <c r="HB18" i="4"/>
  <c r="HB19" i="4"/>
  <c r="HB20" i="4"/>
  <c r="HB21" i="4"/>
  <c r="HB22" i="4"/>
  <c r="HB23" i="4"/>
  <c r="HB24" i="4"/>
  <c r="HB25" i="4"/>
  <c r="HB26" i="4"/>
  <c r="HB27" i="4"/>
  <c r="HB28" i="4"/>
  <c r="HB29" i="4"/>
  <c r="HB30" i="4"/>
  <c r="HB3" i="4"/>
  <c r="GZ4" i="4"/>
  <c r="GZ5" i="4"/>
  <c r="GZ6" i="4"/>
  <c r="GZ7" i="4"/>
  <c r="GZ8" i="4"/>
  <c r="GZ9" i="4"/>
  <c r="GZ10" i="4"/>
  <c r="GZ11" i="4"/>
  <c r="GZ12" i="4"/>
  <c r="GZ13" i="4"/>
  <c r="GZ14" i="4"/>
  <c r="GZ15" i="4"/>
  <c r="GZ16" i="4"/>
  <c r="GZ17" i="4"/>
  <c r="GZ18" i="4"/>
  <c r="GZ19" i="4"/>
  <c r="GZ20" i="4"/>
  <c r="GZ21" i="4"/>
  <c r="GZ22" i="4"/>
  <c r="GZ23" i="4"/>
  <c r="GZ24" i="4"/>
  <c r="GZ25" i="4"/>
  <c r="GZ26" i="4"/>
  <c r="GZ27" i="4"/>
  <c r="GZ28" i="4"/>
  <c r="GZ29" i="4"/>
  <c r="GZ30" i="4"/>
  <c r="GZ3" i="4"/>
  <c r="GW4" i="4"/>
  <c r="GX4" i="4" s="1"/>
  <c r="GW5" i="4"/>
  <c r="GX5" i="4" s="1"/>
  <c r="GW6" i="4"/>
  <c r="GX6" i="4" s="1"/>
  <c r="GW7" i="4"/>
  <c r="GX7" i="4" s="1"/>
  <c r="GW8" i="4"/>
  <c r="GX8" i="4" s="1"/>
  <c r="GW9" i="4"/>
  <c r="GX9" i="4" s="1"/>
  <c r="GW10" i="4"/>
  <c r="GX10" i="4" s="1"/>
  <c r="GW11" i="4"/>
  <c r="GX11" i="4" s="1"/>
  <c r="GW12" i="4"/>
  <c r="GX12" i="4" s="1"/>
  <c r="GW13" i="4"/>
  <c r="GX13" i="4" s="1"/>
  <c r="GW14" i="4"/>
  <c r="GX14" i="4" s="1"/>
  <c r="GW15" i="4"/>
  <c r="GX15" i="4" s="1"/>
  <c r="GW16" i="4"/>
  <c r="GX16" i="4" s="1"/>
  <c r="GW17" i="4"/>
  <c r="GX17" i="4" s="1"/>
  <c r="GW18" i="4"/>
  <c r="GX18" i="4" s="1"/>
  <c r="GW19" i="4"/>
  <c r="GX19" i="4" s="1"/>
  <c r="GW20" i="4"/>
  <c r="GX20" i="4" s="1"/>
  <c r="GW21" i="4"/>
  <c r="GX21" i="4" s="1"/>
  <c r="GW22" i="4"/>
  <c r="GX22" i="4" s="1"/>
  <c r="GW23" i="4"/>
  <c r="GX23" i="4" s="1"/>
  <c r="GW24" i="4"/>
  <c r="GX24" i="4" s="1"/>
  <c r="GW25" i="4"/>
  <c r="GX25" i="4" s="1"/>
  <c r="GW26" i="4"/>
  <c r="GX26" i="4" s="1"/>
  <c r="GW27" i="4"/>
  <c r="GX27" i="4" s="1"/>
  <c r="GW28" i="4"/>
  <c r="GX28" i="4" s="1"/>
  <c r="GW29" i="4"/>
  <c r="GX29" i="4" s="1"/>
  <c r="GW30" i="4"/>
  <c r="GX30" i="4" s="1"/>
  <c r="GW3" i="4"/>
  <c r="GX3" i="4" s="1"/>
  <c r="GR4" i="4"/>
  <c r="GR5" i="4"/>
  <c r="GR6" i="4"/>
  <c r="GR7" i="4"/>
  <c r="GR8" i="4"/>
  <c r="GU8" i="4" s="1"/>
  <c r="GR9" i="4"/>
  <c r="GU9" i="4" s="1"/>
  <c r="GR10" i="4"/>
  <c r="GU10" i="4" s="1"/>
  <c r="GR11" i="4"/>
  <c r="GU11" i="4" s="1"/>
  <c r="GR12" i="4"/>
  <c r="GU12" i="4" s="1"/>
  <c r="GR13" i="4"/>
  <c r="GU13" i="4" s="1"/>
  <c r="GR14" i="4"/>
  <c r="GU14" i="4" s="1"/>
  <c r="GR15" i="4"/>
  <c r="GR16" i="4"/>
  <c r="GR17" i="4"/>
  <c r="GR18" i="4"/>
  <c r="GU18" i="4" s="1"/>
  <c r="GR19" i="4"/>
  <c r="GU19" i="4" s="1"/>
  <c r="GR20" i="4"/>
  <c r="GU20" i="4" s="1"/>
  <c r="GR21" i="4"/>
  <c r="GR22" i="4"/>
  <c r="GR23" i="4"/>
  <c r="GR24" i="4"/>
  <c r="GR25" i="4"/>
  <c r="GR26" i="4"/>
  <c r="GR27" i="4"/>
  <c r="GR28" i="4"/>
  <c r="GR29" i="4"/>
  <c r="GR30" i="4"/>
  <c r="GN4" i="4"/>
  <c r="GN5" i="4"/>
  <c r="GN6" i="4"/>
  <c r="GN7" i="4"/>
  <c r="GN8" i="4"/>
  <c r="GN9" i="4"/>
  <c r="GN10" i="4"/>
  <c r="GN11" i="4"/>
  <c r="GN12" i="4"/>
  <c r="GN13" i="4"/>
  <c r="GN14" i="4"/>
  <c r="GN15" i="4"/>
  <c r="GN16" i="4"/>
  <c r="GN17" i="4"/>
  <c r="GN18" i="4"/>
  <c r="GN19" i="4"/>
  <c r="GN20" i="4"/>
  <c r="GN21" i="4"/>
  <c r="GN22" i="4"/>
  <c r="GN23" i="4"/>
  <c r="GN24" i="4"/>
  <c r="GN25" i="4"/>
  <c r="GN26" i="4"/>
  <c r="GN27" i="4"/>
  <c r="GN28" i="4"/>
  <c r="GN29" i="4"/>
  <c r="GN30" i="4"/>
  <c r="GN3" i="4"/>
  <c r="GM4" i="4"/>
  <c r="GM5" i="4"/>
  <c r="GM6" i="4"/>
  <c r="GM7" i="4"/>
  <c r="GM8" i="4"/>
  <c r="GM9" i="4"/>
  <c r="GM10" i="4"/>
  <c r="GM11" i="4"/>
  <c r="GM12" i="4"/>
  <c r="GM13" i="4"/>
  <c r="GM14" i="4"/>
  <c r="GM15" i="4"/>
  <c r="GM16" i="4"/>
  <c r="GM17" i="4"/>
  <c r="GM18" i="4"/>
  <c r="GM19" i="4"/>
  <c r="GM20" i="4"/>
  <c r="GM21" i="4"/>
  <c r="GM22" i="4"/>
  <c r="GM23" i="4"/>
  <c r="GM24" i="4"/>
  <c r="GM25" i="4"/>
  <c r="GM26" i="4"/>
  <c r="GM27" i="4"/>
  <c r="GM28" i="4"/>
  <c r="GM29" i="4"/>
  <c r="GM30" i="4"/>
  <c r="GK4" i="4"/>
  <c r="GK5" i="4"/>
  <c r="GK6" i="4"/>
  <c r="GK7" i="4"/>
  <c r="GK8" i="4"/>
  <c r="GK9" i="4"/>
  <c r="GK10" i="4"/>
  <c r="GK11" i="4"/>
  <c r="GK12" i="4"/>
  <c r="GK13" i="4"/>
  <c r="GK14" i="4"/>
  <c r="GK15" i="4"/>
  <c r="GK16" i="4"/>
  <c r="GK17" i="4"/>
  <c r="GK18" i="4"/>
  <c r="GK19" i="4"/>
  <c r="GK20" i="4"/>
  <c r="GK21" i="4"/>
  <c r="GK22" i="4"/>
  <c r="GK23" i="4"/>
  <c r="GK24" i="4"/>
  <c r="GK25" i="4"/>
  <c r="GK26" i="4"/>
  <c r="GK27" i="4"/>
  <c r="GK28" i="4"/>
  <c r="GK29" i="4"/>
  <c r="GK30" i="4"/>
  <c r="GK3" i="4"/>
  <c r="GI25" i="4"/>
  <c r="GI26" i="4"/>
  <c r="GI27" i="4"/>
  <c r="GI29" i="4"/>
  <c r="GI4" i="4"/>
  <c r="GI5" i="4"/>
  <c r="GI6" i="4"/>
  <c r="GI7" i="4"/>
  <c r="GI8" i="4"/>
  <c r="GI9" i="4"/>
  <c r="GI10" i="4"/>
  <c r="GI11" i="4"/>
  <c r="GI12" i="4"/>
  <c r="GI13" i="4"/>
  <c r="GI14" i="4"/>
  <c r="GI15" i="4"/>
  <c r="GI16" i="4"/>
  <c r="GI17" i="4"/>
  <c r="GI18" i="4"/>
  <c r="GI19" i="4"/>
  <c r="GI20" i="4"/>
  <c r="GI21" i="4"/>
  <c r="GI22" i="4"/>
  <c r="GI23" i="4"/>
  <c r="GI24" i="4"/>
  <c r="GI28" i="4"/>
  <c r="GI30" i="4"/>
  <c r="GH3" i="4"/>
  <c r="GI3" i="4" s="1"/>
  <c r="GE4" i="4"/>
  <c r="GE5" i="4"/>
  <c r="GE6" i="4"/>
  <c r="GE7" i="4"/>
  <c r="GE8" i="4"/>
  <c r="GE9" i="4"/>
  <c r="GE10" i="4"/>
  <c r="GE11" i="4"/>
  <c r="GE12" i="4"/>
  <c r="GE13" i="4"/>
  <c r="GE14" i="4"/>
  <c r="GE15" i="4"/>
  <c r="GE16" i="4"/>
  <c r="GE17" i="4"/>
  <c r="GE18" i="4"/>
  <c r="GE19" i="4"/>
  <c r="GE20" i="4"/>
  <c r="GE21" i="4"/>
  <c r="GE22" i="4"/>
  <c r="GE23" i="4"/>
  <c r="GE24" i="4"/>
  <c r="GE25" i="4"/>
  <c r="GE26" i="4"/>
  <c r="GE27" i="4"/>
  <c r="GE28" i="4"/>
  <c r="GE29" i="4"/>
  <c r="GE30" i="4"/>
  <c r="GE3" i="4"/>
  <c r="GC4" i="4"/>
  <c r="GC5" i="4"/>
  <c r="GC6" i="4"/>
  <c r="GC7" i="4"/>
  <c r="GC8" i="4"/>
  <c r="GC9" i="4"/>
  <c r="GC10" i="4"/>
  <c r="GC11" i="4"/>
  <c r="GC12" i="4"/>
  <c r="GC13" i="4"/>
  <c r="GC14" i="4"/>
  <c r="GC15" i="4"/>
  <c r="GC16" i="4"/>
  <c r="GC17" i="4"/>
  <c r="GC18" i="4"/>
  <c r="GC19" i="4"/>
  <c r="GC20" i="4"/>
  <c r="GC21" i="4"/>
  <c r="GC22" i="4"/>
  <c r="GC23" i="4"/>
  <c r="GC24" i="4"/>
  <c r="GC25" i="4"/>
  <c r="GC26" i="4"/>
  <c r="GC27" i="4"/>
  <c r="GC28" i="4"/>
  <c r="GC29" i="4"/>
  <c r="GC30" i="4"/>
  <c r="GC3" i="4"/>
  <c r="FY4" i="4"/>
  <c r="FY5" i="4"/>
  <c r="FY6" i="4"/>
  <c r="FY7" i="4"/>
  <c r="FY8" i="4"/>
  <c r="FY9" i="4"/>
  <c r="FY10" i="4"/>
  <c r="FY11" i="4"/>
  <c r="FY12" i="4"/>
  <c r="FY13" i="4"/>
  <c r="FY14" i="4"/>
  <c r="FY15" i="4"/>
  <c r="FY16" i="4"/>
  <c r="FY17" i="4"/>
  <c r="FY18" i="4"/>
  <c r="FY19" i="4"/>
  <c r="FY20" i="4"/>
  <c r="FY21" i="4"/>
  <c r="FY22" i="4"/>
  <c r="FY23" i="4"/>
  <c r="FY24" i="4"/>
  <c r="FY25" i="4"/>
  <c r="FY26" i="4"/>
  <c r="FY27" i="4"/>
  <c r="FY28" i="4"/>
  <c r="FY29" i="4"/>
  <c r="FY30" i="4"/>
  <c r="FX4" i="4"/>
  <c r="FX5" i="4"/>
  <c r="FX6" i="4"/>
  <c r="FX7" i="4"/>
  <c r="FX8" i="4"/>
  <c r="FX9" i="4"/>
  <c r="FX10" i="4"/>
  <c r="FX11" i="4"/>
  <c r="FX12" i="4"/>
  <c r="FX13" i="4"/>
  <c r="FX14" i="4"/>
  <c r="FX15" i="4"/>
  <c r="FX16" i="4"/>
  <c r="FX17" i="4"/>
  <c r="FX18" i="4"/>
  <c r="FX19" i="4"/>
  <c r="FX20" i="4"/>
  <c r="FX21" i="4"/>
  <c r="FX22" i="4"/>
  <c r="FX23" i="4"/>
  <c r="FX24" i="4"/>
  <c r="FX25" i="4"/>
  <c r="FX26" i="4"/>
  <c r="FX27" i="4"/>
  <c r="FX28" i="4"/>
  <c r="FX29" i="4"/>
  <c r="FX30" i="4"/>
  <c r="FV4" i="4"/>
  <c r="FV5" i="4"/>
  <c r="FV6" i="4"/>
  <c r="FV7" i="4"/>
  <c r="FV8" i="4"/>
  <c r="FV9" i="4"/>
  <c r="FV10" i="4"/>
  <c r="FV11" i="4"/>
  <c r="FV12" i="4"/>
  <c r="FV13" i="4"/>
  <c r="FV14" i="4"/>
  <c r="FV15" i="4"/>
  <c r="FV16" i="4"/>
  <c r="FV17" i="4"/>
  <c r="FV18" i="4"/>
  <c r="FV19" i="4"/>
  <c r="FV20" i="4"/>
  <c r="FV21" i="4"/>
  <c r="FV22" i="4"/>
  <c r="FV23" i="4"/>
  <c r="FV24" i="4"/>
  <c r="FV25" i="4"/>
  <c r="FV26" i="4"/>
  <c r="FV27" i="4"/>
  <c r="FV28" i="4"/>
  <c r="FV29" i="4"/>
  <c r="FV30" i="4"/>
  <c r="FS4" i="4"/>
  <c r="FT4" i="4" s="1"/>
  <c r="FS5" i="4"/>
  <c r="FT5" i="4" s="1"/>
  <c r="FS6" i="4"/>
  <c r="FT6" i="4" s="1"/>
  <c r="FS7" i="4"/>
  <c r="FT7" i="4" s="1"/>
  <c r="FS8" i="4"/>
  <c r="FT8" i="4" s="1"/>
  <c r="FS9" i="4"/>
  <c r="FT9" i="4" s="1"/>
  <c r="FS10" i="4"/>
  <c r="FT10" i="4" s="1"/>
  <c r="FS11" i="4"/>
  <c r="FT11" i="4" s="1"/>
  <c r="FS12" i="4"/>
  <c r="FT12" i="4" s="1"/>
  <c r="FS13" i="4"/>
  <c r="FT13" i="4" s="1"/>
  <c r="FS14" i="4"/>
  <c r="FT14" i="4" s="1"/>
  <c r="FS15" i="4"/>
  <c r="FT15" i="4" s="1"/>
  <c r="FS16" i="4"/>
  <c r="FT16" i="4" s="1"/>
  <c r="FS17" i="4"/>
  <c r="FT17" i="4" s="1"/>
  <c r="FS18" i="4"/>
  <c r="FT18" i="4" s="1"/>
  <c r="FS19" i="4"/>
  <c r="FT19" i="4" s="1"/>
  <c r="FS20" i="4"/>
  <c r="FT20" i="4" s="1"/>
  <c r="FS21" i="4"/>
  <c r="FT21" i="4" s="1"/>
  <c r="FS22" i="4"/>
  <c r="FT22" i="4" s="1"/>
  <c r="FS23" i="4"/>
  <c r="FT23" i="4" s="1"/>
  <c r="FS24" i="4"/>
  <c r="FT24" i="4" s="1"/>
  <c r="FS25" i="4"/>
  <c r="FT25" i="4" s="1"/>
  <c r="FS26" i="4"/>
  <c r="FT26" i="4" s="1"/>
  <c r="FS27" i="4"/>
  <c r="FT27" i="4" s="1"/>
  <c r="FS28" i="4"/>
  <c r="FT28" i="4" s="1"/>
  <c r="FS29" i="4"/>
  <c r="FT29" i="4" s="1"/>
  <c r="FS30" i="4"/>
  <c r="FT30" i="4" s="1"/>
  <c r="FP4" i="4"/>
  <c r="FP5" i="4"/>
  <c r="FP6" i="4"/>
  <c r="FP7" i="4"/>
  <c r="FP8" i="4"/>
  <c r="FP9" i="4"/>
  <c r="FP10" i="4"/>
  <c r="FP11" i="4"/>
  <c r="FP12" i="4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N4" i="4"/>
  <c r="FN5" i="4"/>
  <c r="FN6" i="4"/>
  <c r="FN7" i="4"/>
  <c r="FN8" i="4"/>
  <c r="FN9" i="4"/>
  <c r="FN10" i="4"/>
  <c r="FN11" i="4"/>
  <c r="FN12" i="4"/>
  <c r="FN13" i="4"/>
  <c r="FN14" i="4"/>
  <c r="FN15" i="4"/>
  <c r="FN16" i="4"/>
  <c r="FN17" i="4"/>
  <c r="FN18" i="4"/>
  <c r="FN19" i="4"/>
  <c r="FN20" i="4"/>
  <c r="FN21" i="4"/>
  <c r="FN22" i="4"/>
  <c r="FN23" i="4"/>
  <c r="FN24" i="4"/>
  <c r="FN25" i="4"/>
  <c r="FN26" i="4"/>
  <c r="FN27" i="4"/>
  <c r="FN28" i="4"/>
  <c r="FN29" i="4"/>
  <c r="FN30" i="4"/>
  <c r="FN3" i="4"/>
  <c r="JC13" i="4" l="1"/>
  <c r="OH29" i="4"/>
  <c r="JC10" i="4"/>
  <c r="JC8" i="4"/>
  <c r="LK7" i="4"/>
  <c r="JC7" i="4"/>
  <c r="OH11" i="4"/>
  <c r="JC29" i="4"/>
  <c r="OH7" i="4"/>
  <c r="GF24" i="4"/>
  <c r="LK9" i="4"/>
  <c r="LZ3" i="4"/>
  <c r="ND7" i="4"/>
  <c r="OH6" i="4"/>
  <c r="HJ3" i="4"/>
  <c r="LK8" i="4"/>
  <c r="HJ24" i="4"/>
  <c r="JR4" i="4"/>
  <c r="OH8" i="4"/>
  <c r="FQ24" i="4"/>
  <c r="IN22" i="4"/>
  <c r="KV18" i="4"/>
  <c r="JC18" i="4"/>
  <c r="HJ17" i="4"/>
  <c r="FQ16" i="4"/>
  <c r="HJ16" i="4"/>
  <c r="IN17" i="4"/>
  <c r="ND17" i="4"/>
  <c r="ND16" i="4"/>
  <c r="IN16" i="4"/>
  <c r="OH20" i="4"/>
  <c r="HJ15" i="4"/>
  <c r="IN15" i="4"/>
  <c r="ND15" i="4"/>
  <c r="GF14" i="4"/>
  <c r="IN14" i="4"/>
  <c r="OH13" i="4"/>
  <c r="HJ14" i="4"/>
  <c r="FQ13" i="4"/>
  <c r="ND13" i="4"/>
  <c r="MO11" i="4"/>
  <c r="OH12" i="4"/>
  <c r="HJ12" i="4"/>
  <c r="FQ12" i="4"/>
  <c r="HJ11" i="4"/>
  <c r="FQ11" i="4"/>
  <c r="FQ10" i="4"/>
  <c r="LZ9" i="4"/>
  <c r="OH9" i="4"/>
  <c r="KV9" i="4"/>
  <c r="LZ8" i="4"/>
  <c r="MO8" i="4"/>
  <c r="KV8" i="4"/>
  <c r="KV7" i="4"/>
  <c r="MO7" i="4"/>
  <c r="KV6" i="4"/>
  <c r="MO6" i="4"/>
  <c r="GF3" i="4"/>
  <c r="LK5" i="4"/>
  <c r="KV5" i="4"/>
  <c r="JC3" i="4"/>
  <c r="MO3" i="4"/>
  <c r="OH5" i="4"/>
  <c r="OH4" i="4"/>
  <c r="NS28" i="4"/>
  <c r="NS27" i="4"/>
  <c r="NS24" i="4"/>
  <c r="ND9" i="4"/>
  <c r="ND4" i="4"/>
  <c r="ND8" i="4"/>
  <c r="ND6" i="4"/>
  <c r="ND5" i="4"/>
  <c r="MO9" i="4"/>
  <c r="MO5" i="4"/>
  <c r="MO4" i="4"/>
  <c r="LZ7" i="4"/>
  <c r="LZ6" i="4"/>
  <c r="LZ5" i="4"/>
  <c r="LZ4" i="4"/>
  <c r="LK6" i="4"/>
  <c r="LK4" i="4"/>
  <c r="LK19" i="4"/>
  <c r="LK17" i="4"/>
  <c r="LK18" i="4"/>
  <c r="LK16" i="4"/>
  <c r="KV4" i="4"/>
  <c r="KV19" i="4"/>
  <c r="KV17" i="4"/>
  <c r="KV16" i="4"/>
  <c r="KV15" i="4"/>
  <c r="KV25" i="4"/>
  <c r="JR12" i="4"/>
  <c r="JR11" i="4"/>
  <c r="JR30" i="4"/>
  <c r="JR10" i="4"/>
  <c r="JR9" i="4"/>
  <c r="JR8" i="4"/>
  <c r="JR26" i="4"/>
  <c r="JR5" i="4"/>
  <c r="JR19" i="4"/>
  <c r="JC5" i="4"/>
  <c r="JC19" i="4"/>
  <c r="JC17" i="4"/>
  <c r="JC16" i="4"/>
  <c r="JC22" i="4"/>
  <c r="JC21" i="4"/>
  <c r="JC15" i="4"/>
  <c r="JC14" i="4"/>
  <c r="IN27" i="4"/>
  <c r="IN26" i="4"/>
  <c r="IN25" i="4"/>
  <c r="HJ29" i="4"/>
  <c r="GF13" i="4"/>
  <c r="GF10" i="4"/>
  <c r="GF9" i="4"/>
  <c r="FQ17" i="4"/>
  <c r="FQ15" i="4"/>
  <c r="FQ14" i="4"/>
  <c r="FQ26" i="4"/>
  <c r="JC23" i="4"/>
  <c r="LK29" i="4"/>
  <c r="LZ17" i="4"/>
  <c r="MO14" i="4"/>
  <c r="OH14" i="4"/>
  <c r="JC11" i="4"/>
  <c r="NS19" i="4"/>
  <c r="OH10" i="4"/>
  <c r="JC12" i="4"/>
  <c r="KV10" i="4"/>
  <c r="GU6" i="4"/>
  <c r="GF28" i="4"/>
  <c r="GF12" i="4"/>
  <c r="LK15" i="4"/>
  <c r="GU4" i="4"/>
  <c r="HJ27" i="4"/>
  <c r="LK13" i="4"/>
  <c r="NS16" i="4"/>
  <c r="JR7" i="4"/>
  <c r="ND14" i="4"/>
  <c r="GF11" i="4"/>
  <c r="GU27" i="4"/>
  <c r="FQ5" i="4"/>
  <c r="GU5" i="4"/>
  <c r="FQ23" i="4"/>
  <c r="FQ9" i="4"/>
  <c r="LK12" i="4"/>
  <c r="MO27" i="4"/>
  <c r="ND18" i="4"/>
  <c r="NS15" i="4"/>
  <c r="OH17" i="4"/>
  <c r="GU7" i="4"/>
  <c r="OH24" i="4"/>
  <c r="GF8" i="4"/>
  <c r="GF7" i="4"/>
  <c r="IN13" i="4"/>
  <c r="FQ19" i="4"/>
  <c r="IN21" i="4"/>
  <c r="KV23" i="4"/>
  <c r="LK11" i="4"/>
  <c r="LK22" i="4"/>
  <c r="MO26" i="4"/>
  <c r="NS14" i="4"/>
  <c r="OH16" i="4"/>
  <c r="HJ10" i="4"/>
  <c r="LK14" i="4"/>
  <c r="NS17" i="4"/>
  <c r="GF6" i="4"/>
  <c r="GF23" i="4"/>
  <c r="HJ13" i="4"/>
  <c r="KV22" i="4"/>
  <c r="LK30" i="4"/>
  <c r="LK10" i="4"/>
  <c r="OH15" i="4"/>
  <c r="ND30" i="4"/>
  <c r="MO29" i="4"/>
  <c r="NS30" i="4"/>
  <c r="IN29" i="4"/>
  <c r="HJ30" i="4"/>
  <c r="GU30" i="4"/>
  <c r="GF30" i="4"/>
  <c r="GF29" i="4"/>
  <c r="FQ30" i="4"/>
  <c r="KV30" i="4"/>
  <c r="JR29" i="4"/>
  <c r="JC30" i="4"/>
  <c r="LZ29" i="4"/>
  <c r="KV29" i="4"/>
  <c r="KG29" i="4"/>
  <c r="ND26" i="4"/>
  <c r="MO28" i="4"/>
  <c r="JR25" i="4"/>
  <c r="GU26" i="4"/>
  <c r="GU25" i="4"/>
  <c r="GF27" i="4"/>
  <c r="GF25" i="4"/>
  <c r="OH30" i="4"/>
  <c r="MO30" i="4"/>
  <c r="IN30" i="4"/>
  <c r="KG30" i="4"/>
  <c r="LZ30" i="4"/>
  <c r="LZ28" i="4"/>
  <c r="LK28" i="4"/>
  <c r="FQ29" i="4"/>
  <c r="NS29" i="4"/>
  <c r="GU29" i="4"/>
  <c r="ND29" i="4"/>
  <c r="LZ27" i="4"/>
  <c r="LK27" i="4"/>
  <c r="LK26" i="4"/>
  <c r="KV27" i="4"/>
  <c r="KG26" i="4"/>
  <c r="JC28" i="4"/>
  <c r="ND28" i="4"/>
  <c r="KG28" i="4"/>
  <c r="GU28" i="4"/>
  <c r="KV28" i="4"/>
  <c r="IN28" i="4"/>
  <c r="OH28" i="4"/>
  <c r="HJ28" i="4"/>
  <c r="FQ28" i="4"/>
  <c r="JR28" i="4"/>
  <c r="JC27" i="4"/>
  <c r="OH27" i="4"/>
  <c r="KG27" i="4"/>
  <c r="JR27" i="4"/>
  <c r="FQ27" i="4"/>
  <c r="ND27" i="4"/>
  <c r="KG25" i="4"/>
  <c r="JC25" i="4"/>
  <c r="OH26" i="4"/>
  <c r="HJ26" i="4"/>
  <c r="JC26" i="4"/>
  <c r="GF26" i="4"/>
  <c r="KV26" i="4"/>
  <c r="LZ26" i="4"/>
  <c r="NS26" i="4"/>
  <c r="LZ24" i="4"/>
  <c r="LK24" i="4"/>
  <c r="KV24" i="4"/>
  <c r="JC24" i="4"/>
  <c r="FQ25" i="4"/>
  <c r="LK25" i="4"/>
  <c r="ND25" i="4"/>
  <c r="LZ25" i="4"/>
  <c r="OH25" i="4"/>
  <c r="HJ25" i="4"/>
  <c r="MO25" i="4"/>
  <c r="NS25" i="4"/>
  <c r="ND23" i="4"/>
  <c r="ND22" i="4"/>
  <c r="MO23" i="4"/>
  <c r="MO22" i="4"/>
  <c r="IN23" i="4"/>
  <c r="OH22" i="4"/>
  <c r="OH23" i="4"/>
  <c r="NS23" i="4"/>
  <c r="GF21" i="4"/>
  <c r="JR23" i="4"/>
  <c r="HJ21" i="4"/>
  <c r="HJ20" i="4"/>
  <c r="HJ19" i="4"/>
  <c r="HJ18" i="4"/>
  <c r="IN19" i="4"/>
  <c r="IN18" i="4"/>
  <c r="GF20" i="4"/>
  <c r="GF19" i="4"/>
  <c r="GF18" i="4"/>
  <c r="FQ20" i="4"/>
  <c r="FQ18" i="4"/>
  <c r="OH21" i="4"/>
  <c r="OH18" i="4"/>
  <c r="NS18" i="4"/>
  <c r="ND20" i="4"/>
  <c r="ND19" i="4"/>
  <c r="MO18" i="4"/>
  <c r="JR18" i="4"/>
  <c r="LZ22" i="4"/>
  <c r="LZ21" i="4"/>
  <c r="KG23" i="4"/>
  <c r="KG22" i="4"/>
  <c r="IN24" i="4"/>
  <c r="JR24" i="4"/>
  <c r="KG24" i="4"/>
  <c r="LZ23" i="4"/>
  <c r="MO24" i="4"/>
  <c r="GU24" i="4"/>
  <c r="GU23" i="4"/>
  <c r="HJ23" i="4"/>
  <c r="ND24" i="4"/>
  <c r="LK23" i="4"/>
  <c r="GF22" i="4"/>
  <c r="HJ22" i="4"/>
  <c r="GU22" i="4"/>
  <c r="FQ22" i="4"/>
  <c r="JR22" i="4"/>
  <c r="NS22" i="4"/>
  <c r="JR21" i="4"/>
  <c r="LK21" i="4"/>
  <c r="LK20" i="4"/>
  <c r="LZ20" i="4"/>
  <c r="MO21" i="4"/>
  <c r="MO20" i="4"/>
  <c r="IN20" i="4"/>
  <c r="KV21" i="4"/>
  <c r="KV20" i="4"/>
  <c r="FQ21" i="4"/>
  <c r="JR20" i="4"/>
  <c r="NS21" i="4"/>
  <c r="KG20" i="4"/>
  <c r="GU21" i="4"/>
  <c r="ND21" i="4"/>
  <c r="NS20" i="4"/>
  <c r="OH3" i="4"/>
  <c r="NS13" i="4"/>
  <c r="NS12" i="4"/>
  <c r="NS11" i="4"/>
  <c r="NS10" i="4"/>
  <c r="NS3" i="4"/>
  <c r="ND12" i="4"/>
  <c r="ND11" i="4"/>
  <c r="ND10" i="4"/>
  <c r="ND3" i="4"/>
  <c r="MO17" i="4"/>
  <c r="MO16" i="4"/>
  <c r="MO15" i="4"/>
  <c r="MO13" i="4"/>
  <c r="MO12" i="4"/>
  <c r="MO10" i="4"/>
  <c r="LZ19" i="4"/>
  <c r="LZ18" i="4"/>
  <c r="LZ16" i="4"/>
  <c r="LZ15" i="4"/>
  <c r="LZ14" i="4"/>
  <c r="LZ13" i="4"/>
  <c r="LZ12" i="4"/>
  <c r="LZ11" i="4"/>
  <c r="LZ10" i="4"/>
  <c r="LK3" i="4"/>
  <c r="KV14" i="4"/>
  <c r="KV13" i="4"/>
  <c r="KV12" i="4"/>
  <c r="KV11" i="4"/>
  <c r="KG4" i="4"/>
  <c r="JR17" i="4"/>
  <c r="JR16" i="4"/>
  <c r="JR15" i="4"/>
  <c r="JR14" i="4"/>
  <c r="JR13" i="4"/>
  <c r="JR6" i="4"/>
  <c r="JR3" i="4"/>
  <c r="JC9" i="4"/>
  <c r="JC6" i="4"/>
  <c r="JC4" i="4"/>
  <c r="IN12" i="4"/>
  <c r="IN11" i="4"/>
  <c r="IN10" i="4"/>
  <c r="IN9" i="4"/>
  <c r="IN8" i="4"/>
  <c r="IN7" i="4"/>
  <c r="IN6" i="4"/>
  <c r="IN5" i="4"/>
  <c r="IN4" i="4"/>
  <c r="IN3" i="4"/>
  <c r="HY3" i="4"/>
  <c r="HJ9" i="4"/>
  <c r="HJ8" i="4"/>
  <c r="HJ7" i="4"/>
  <c r="HJ6" i="4"/>
  <c r="HJ5" i="4"/>
  <c r="HJ4" i="4"/>
  <c r="GU17" i="4"/>
  <c r="GU16" i="4"/>
  <c r="GU15" i="4"/>
  <c r="GU3" i="4"/>
  <c r="GF17" i="4"/>
  <c r="GF16" i="4"/>
  <c r="GF15" i="4"/>
  <c r="GF5" i="4"/>
  <c r="GF4" i="4"/>
  <c r="FQ8" i="4"/>
  <c r="FQ7" i="4"/>
  <c r="FQ6" i="4"/>
  <c r="FQ4" i="4"/>
  <c r="FQ3" i="4"/>
  <c r="ER3" i="4"/>
  <c r="ER4" i="4"/>
  <c r="ER5" i="4"/>
  <c r="ER6" i="4"/>
  <c r="ER7" i="4"/>
  <c r="ER9" i="4"/>
  <c r="ER10" i="4"/>
  <c r="ER11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BR13" i="4" l="1"/>
  <c r="BO13" i="4"/>
  <c r="BM13" i="4"/>
  <c r="BR4" i="4"/>
  <c r="BS4" i="4" s="1"/>
  <c r="BR5" i="4"/>
  <c r="BR6" i="4"/>
  <c r="BS6" i="4" s="1"/>
  <c r="BR7" i="4"/>
  <c r="BS7" i="4" s="1"/>
  <c r="BR8" i="4"/>
  <c r="BS8" i="4" s="1"/>
  <c r="BR9" i="4"/>
  <c r="BS9" i="4" s="1"/>
  <c r="BR10" i="4"/>
  <c r="BS10" i="4" s="1"/>
  <c r="BR11" i="4"/>
  <c r="BS11" i="4" s="1"/>
  <c r="BR12" i="4"/>
  <c r="BS12" i="4" s="1"/>
  <c r="BR14" i="4"/>
  <c r="BS14" i="4" s="1"/>
  <c r="BR15" i="4"/>
  <c r="BS15" i="4" s="1"/>
  <c r="BR16" i="4"/>
  <c r="BS16" i="4" s="1"/>
  <c r="BR17" i="4"/>
  <c r="BS17" i="4" s="1"/>
  <c r="BR18" i="4"/>
  <c r="BS18" i="4" s="1"/>
  <c r="BR19" i="4"/>
  <c r="BS19" i="4" s="1"/>
  <c r="BR20" i="4"/>
  <c r="BS20" i="4" s="1"/>
  <c r="BR21" i="4"/>
  <c r="BS21" i="4" s="1"/>
  <c r="BR22" i="4"/>
  <c r="BS22" i="4" s="1"/>
  <c r="BR23" i="4"/>
  <c r="BS23" i="4" s="1"/>
  <c r="BR24" i="4"/>
  <c r="BS24" i="4" s="1"/>
  <c r="BR25" i="4"/>
  <c r="BS25" i="4" s="1"/>
  <c r="BR26" i="4"/>
  <c r="BS26" i="4" s="1"/>
  <c r="BR27" i="4"/>
  <c r="BS27" i="4" s="1"/>
  <c r="BR28" i="4"/>
  <c r="BS28" i="4" s="1"/>
  <c r="BR29" i="4"/>
  <c r="BS29" i="4" s="1"/>
  <c r="BR30" i="4"/>
  <c r="BS30" i="4" s="1"/>
  <c r="BS13" i="4"/>
  <c r="BS5" i="4"/>
  <c r="BM9" i="4"/>
  <c r="BM4" i="4"/>
  <c r="BM5" i="4"/>
  <c r="BM6" i="4"/>
  <c r="BM7" i="4"/>
  <c r="BM8" i="4"/>
  <c r="BM10" i="4"/>
  <c r="BM11" i="4"/>
  <c r="BM12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1" i="4"/>
  <c r="BH22" i="4"/>
  <c r="BH23" i="4"/>
  <c r="BH24" i="4"/>
  <c r="BH25" i="4"/>
  <c r="BH26" i="4"/>
  <c r="BH27" i="4"/>
  <c r="BH28" i="4"/>
  <c r="BH29" i="4"/>
  <c r="BH30" i="4"/>
  <c r="BH3" i="4"/>
  <c r="BC4" i="4"/>
  <c r="BD4" i="4" s="1"/>
  <c r="FJ20" i="4"/>
  <c r="FJ16" i="4"/>
  <c r="FJ4" i="4"/>
  <c r="FJ5" i="4"/>
  <c r="FJ6" i="4"/>
  <c r="FJ7" i="4"/>
  <c r="FJ8" i="4"/>
  <c r="FJ9" i="4"/>
  <c r="FJ10" i="4"/>
  <c r="FJ11" i="4"/>
  <c r="FJ12" i="4"/>
  <c r="FJ13" i="4"/>
  <c r="FJ14" i="4"/>
  <c r="FJ15" i="4"/>
  <c r="FJ17" i="4"/>
  <c r="FJ18" i="4"/>
  <c r="FJ19" i="4"/>
  <c r="FJ21" i="4"/>
  <c r="FJ22" i="4"/>
  <c r="FJ23" i="4"/>
  <c r="FJ24" i="4"/>
  <c r="FJ25" i="4"/>
  <c r="FJ26" i="4"/>
  <c r="FJ27" i="4"/>
  <c r="FJ28" i="4"/>
  <c r="FJ29" i="4"/>
  <c r="FJ30" i="4"/>
  <c r="FJ3" i="4"/>
  <c r="FI4" i="4"/>
  <c r="FI5" i="4"/>
  <c r="FI6" i="4"/>
  <c r="FI7" i="4"/>
  <c r="FI8" i="4"/>
  <c r="FI9" i="4"/>
  <c r="FI10" i="4"/>
  <c r="FI11" i="4"/>
  <c r="FI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" i="4"/>
  <c r="FG4" i="4"/>
  <c r="FG5" i="4"/>
  <c r="FG6" i="4"/>
  <c r="FG7" i="4"/>
  <c r="FG8" i="4"/>
  <c r="FG9" i="4"/>
  <c r="FG10" i="4"/>
  <c r="FG11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G25" i="4"/>
  <c r="FG26" i="4"/>
  <c r="FG27" i="4"/>
  <c r="FG28" i="4"/>
  <c r="FG29" i="4"/>
  <c r="FG30" i="4"/>
  <c r="FD4" i="4"/>
  <c r="FE4" i="4" s="1"/>
  <c r="FE5" i="4"/>
  <c r="FE6" i="4"/>
  <c r="FD7" i="4"/>
  <c r="FE7" i="4" s="1"/>
  <c r="FD8" i="4"/>
  <c r="FE8" i="4" s="1"/>
  <c r="FD9" i="4"/>
  <c r="FE9" i="4" s="1"/>
  <c r="FD10" i="4"/>
  <c r="FE10" i="4" s="1"/>
  <c r="FD11" i="4"/>
  <c r="FE11" i="4" s="1"/>
  <c r="FD12" i="4"/>
  <c r="FE12" i="4" s="1"/>
  <c r="FD13" i="4"/>
  <c r="FE13" i="4" s="1"/>
  <c r="FD14" i="4"/>
  <c r="FE14" i="4" s="1"/>
  <c r="FD15" i="4"/>
  <c r="FE15" i="4" s="1"/>
  <c r="FD16" i="4"/>
  <c r="FE16" i="4" s="1"/>
  <c r="FD17" i="4"/>
  <c r="FE17" i="4" s="1"/>
  <c r="FD18" i="4"/>
  <c r="FE18" i="4" s="1"/>
  <c r="FD19" i="4"/>
  <c r="FE19" i="4" s="1"/>
  <c r="FD20" i="4"/>
  <c r="FE20" i="4" s="1"/>
  <c r="FD21" i="4"/>
  <c r="FE21" i="4" s="1"/>
  <c r="FD22" i="4"/>
  <c r="FE22" i="4" s="1"/>
  <c r="FD23" i="4"/>
  <c r="FE23" i="4" s="1"/>
  <c r="FD24" i="4"/>
  <c r="FE24" i="4" s="1"/>
  <c r="FD25" i="4"/>
  <c r="FE25" i="4" s="1"/>
  <c r="FD26" i="4"/>
  <c r="FE26" i="4" s="1"/>
  <c r="FD27" i="4"/>
  <c r="FE27" i="4" s="1"/>
  <c r="FD28" i="4"/>
  <c r="FE28" i="4" s="1"/>
  <c r="FD29" i="4"/>
  <c r="FE29" i="4" s="1"/>
  <c r="FD30" i="4"/>
  <c r="FE30" i="4" s="1"/>
  <c r="FE3" i="4"/>
  <c r="FA4" i="4"/>
  <c r="FA5" i="4"/>
  <c r="FA6" i="4"/>
  <c r="FA7" i="4"/>
  <c r="FA8" i="4"/>
  <c r="FA9" i="4"/>
  <c r="FA10" i="4"/>
  <c r="FA11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" i="4"/>
  <c r="EY4" i="4"/>
  <c r="EY5" i="4"/>
  <c r="EY6" i="4"/>
  <c r="EY7" i="4"/>
  <c r="EY8" i="4"/>
  <c r="EY9" i="4"/>
  <c r="EY10" i="4"/>
  <c r="EY11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" i="4"/>
  <c r="EU4" i="4"/>
  <c r="EU5" i="4"/>
  <c r="EU6" i="4"/>
  <c r="EU7" i="4"/>
  <c r="EU8" i="4"/>
  <c r="EU9" i="4"/>
  <c r="EU10" i="4"/>
  <c r="EU11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" i="4"/>
  <c r="ET4" i="4"/>
  <c r="ET5" i="4"/>
  <c r="ET6" i="4"/>
  <c r="ET7" i="4"/>
  <c r="ET9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" i="4"/>
  <c r="EO3" i="4"/>
  <c r="EP3" i="4" s="1"/>
  <c r="EO4" i="4"/>
  <c r="EP4" i="4" s="1"/>
  <c r="EO5" i="4"/>
  <c r="EP5" i="4" s="1"/>
  <c r="EO6" i="4"/>
  <c r="EP6" i="4" s="1"/>
  <c r="EO7" i="4"/>
  <c r="EP7" i="4" s="1"/>
  <c r="EO8" i="4"/>
  <c r="EP8" i="4" s="1"/>
  <c r="EO9" i="4"/>
  <c r="EP9" i="4" s="1"/>
  <c r="EO10" i="4"/>
  <c r="EP10" i="4" s="1"/>
  <c r="EO11" i="4"/>
  <c r="EP11" i="4" s="1"/>
  <c r="EO12" i="4"/>
  <c r="EP12" i="4" s="1"/>
  <c r="EO13" i="4"/>
  <c r="EP13" i="4" s="1"/>
  <c r="EO14" i="4"/>
  <c r="EP14" i="4" s="1"/>
  <c r="EO15" i="4"/>
  <c r="EP15" i="4" s="1"/>
  <c r="EO16" i="4"/>
  <c r="EP16" i="4" s="1"/>
  <c r="EO17" i="4"/>
  <c r="EP17" i="4" s="1"/>
  <c r="EO18" i="4"/>
  <c r="EP18" i="4" s="1"/>
  <c r="EO19" i="4"/>
  <c r="EP19" i="4" s="1"/>
  <c r="EO20" i="4"/>
  <c r="EP20" i="4" s="1"/>
  <c r="EO21" i="4"/>
  <c r="EP21" i="4" s="1"/>
  <c r="EO22" i="4"/>
  <c r="EP22" i="4" s="1"/>
  <c r="EO23" i="4"/>
  <c r="EP23" i="4" s="1"/>
  <c r="EO24" i="4"/>
  <c r="EP24" i="4" s="1"/>
  <c r="EO25" i="4"/>
  <c r="EP25" i="4" s="1"/>
  <c r="EO26" i="4"/>
  <c r="EP26" i="4" s="1"/>
  <c r="EO27" i="4"/>
  <c r="EP27" i="4" s="1"/>
  <c r="EO28" i="4"/>
  <c r="EP28" i="4" s="1"/>
  <c r="EO29" i="4"/>
  <c r="EP29" i="4" s="1"/>
  <c r="EO30" i="4"/>
  <c r="EP30" i="4" s="1"/>
  <c r="EL4" i="4"/>
  <c r="EL5" i="4"/>
  <c r="EL6" i="4"/>
  <c r="EL7" i="4"/>
  <c r="EL8" i="4"/>
  <c r="EL9" i="4"/>
  <c r="EL10" i="4"/>
  <c r="EL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" i="4"/>
  <c r="EJ4" i="4"/>
  <c r="EJ5" i="4"/>
  <c r="EJ6" i="4"/>
  <c r="EJ7" i="4"/>
  <c r="EJ8" i="4"/>
  <c r="EJ9" i="4"/>
  <c r="EJ10" i="4"/>
  <c r="EJ11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" i="4"/>
  <c r="EF24" i="4"/>
  <c r="EE24" i="4"/>
  <c r="EF4" i="4"/>
  <c r="EF5" i="4"/>
  <c r="EF6" i="4"/>
  <c r="EF7" i="4"/>
  <c r="EF8" i="4"/>
  <c r="EF9" i="4"/>
  <c r="EF10" i="4"/>
  <c r="EF11" i="4"/>
  <c r="EF12" i="4"/>
  <c r="EF13" i="4"/>
  <c r="EF14" i="4"/>
  <c r="EF15" i="4"/>
  <c r="EF16" i="4"/>
  <c r="EF17" i="4"/>
  <c r="EF18" i="4"/>
  <c r="EF19" i="4"/>
  <c r="EF20" i="4"/>
  <c r="EF21" i="4"/>
  <c r="EF22" i="4"/>
  <c r="EF23" i="4"/>
  <c r="EF25" i="4"/>
  <c r="EF26" i="4"/>
  <c r="EF27" i="4"/>
  <c r="EF28" i="4"/>
  <c r="EF29" i="4"/>
  <c r="EF30" i="4"/>
  <c r="EF3" i="4"/>
  <c r="EE4" i="4"/>
  <c r="EE5" i="4"/>
  <c r="EE6" i="4"/>
  <c r="EE7" i="4"/>
  <c r="EE8" i="4"/>
  <c r="EE9" i="4"/>
  <c r="EE10" i="4"/>
  <c r="EE11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5" i="4"/>
  <c r="EE26" i="4"/>
  <c r="EE27" i="4"/>
  <c r="EE28" i="4"/>
  <c r="EE29" i="4"/>
  <c r="EE30" i="4"/>
  <c r="EE3" i="4"/>
  <c r="EC4" i="4"/>
  <c r="EC5" i="4"/>
  <c r="EC6" i="4"/>
  <c r="EC7" i="4"/>
  <c r="EC8" i="4"/>
  <c r="EC9" i="4"/>
  <c r="EC10" i="4"/>
  <c r="EC11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" i="4"/>
  <c r="DZ3" i="4"/>
  <c r="EA3" i="4" s="1"/>
  <c r="DW4" i="4"/>
  <c r="DW5" i="4"/>
  <c r="DW6" i="4"/>
  <c r="DW7" i="4"/>
  <c r="DW8" i="4"/>
  <c r="DW9" i="4"/>
  <c r="DW10" i="4"/>
  <c r="DW11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" i="4"/>
  <c r="DU4" i="4"/>
  <c r="DU5" i="4"/>
  <c r="DU6" i="4"/>
  <c r="DU7" i="4"/>
  <c r="DU8" i="4"/>
  <c r="DU9" i="4"/>
  <c r="DU10" i="4"/>
  <c r="DU11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" i="4"/>
  <c r="DQ4" i="4"/>
  <c r="DQ5" i="4"/>
  <c r="DQ6" i="4"/>
  <c r="DQ7" i="4"/>
  <c r="DQ8" i="4"/>
  <c r="DQ9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" i="4"/>
  <c r="DP4" i="4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" i="4"/>
  <c r="DN12" i="4"/>
  <c r="DN4" i="4"/>
  <c r="DN5" i="4"/>
  <c r="DN6" i="4"/>
  <c r="DN7" i="4"/>
  <c r="DN9" i="4"/>
  <c r="DN10" i="4"/>
  <c r="DN11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" i="4"/>
  <c r="DK4" i="4"/>
  <c r="DL4" i="4" s="1"/>
  <c r="DK5" i="4"/>
  <c r="DL5" i="4" s="1"/>
  <c r="DK6" i="4"/>
  <c r="DL6" i="4" s="1"/>
  <c r="DK7" i="4"/>
  <c r="DL7" i="4" s="1"/>
  <c r="DK8" i="4"/>
  <c r="DL8" i="4" s="1"/>
  <c r="DK9" i="4"/>
  <c r="DL9" i="4" s="1"/>
  <c r="DK10" i="4"/>
  <c r="DL10" i="4" s="1"/>
  <c r="DK11" i="4"/>
  <c r="DL11" i="4" s="1"/>
  <c r="DK12" i="4"/>
  <c r="DL12" i="4" s="1"/>
  <c r="DK13" i="4"/>
  <c r="DL13" i="4" s="1"/>
  <c r="DK14" i="4"/>
  <c r="DL14" i="4" s="1"/>
  <c r="DK15" i="4"/>
  <c r="DL15" i="4" s="1"/>
  <c r="DK16" i="4"/>
  <c r="DL16" i="4" s="1"/>
  <c r="DK17" i="4"/>
  <c r="DL17" i="4" s="1"/>
  <c r="DK18" i="4"/>
  <c r="DL18" i="4" s="1"/>
  <c r="DK19" i="4"/>
  <c r="DL19" i="4" s="1"/>
  <c r="DK20" i="4"/>
  <c r="DL20" i="4" s="1"/>
  <c r="DK21" i="4"/>
  <c r="DL21" i="4" s="1"/>
  <c r="DK22" i="4"/>
  <c r="DL22" i="4" s="1"/>
  <c r="DK23" i="4"/>
  <c r="DL23" i="4" s="1"/>
  <c r="DK24" i="4"/>
  <c r="DL24" i="4" s="1"/>
  <c r="DK25" i="4"/>
  <c r="DL25" i="4" s="1"/>
  <c r="DK26" i="4"/>
  <c r="DL26" i="4" s="1"/>
  <c r="DK27" i="4"/>
  <c r="DL27" i="4" s="1"/>
  <c r="DK28" i="4"/>
  <c r="DL28" i="4" s="1"/>
  <c r="DK29" i="4"/>
  <c r="DL29" i="4" s="1"/>
  <c r="DK30" i="4"/>
  <c r="DL30" i="4" s="1"/>
  <c r="DK3" i="4"/>
  <c r="DL3" i="4" s="1"/>
  <c r="DH4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" i="4"/>
  <c r="DF4" i="4"/>
  <c r="DF5" i="4"/>
  <c r="DF6" i="4"/>
  <c r="DF7" i="4"/>
  <c r="DF8" i="4"/>
  <c r="DF9" i="4"/>
  <c r="DF10" i="4"/>
  <c r="DF11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" i="4"/>
  <c r="DB28" i="4"/>
  <c r="DB4" i="4"/>
  <c r="DB5" i="4"/>
  <c r="DB6" i="4"/>
  <c r="DB7" i="4"/>
  <c r="DB8" i="4"/>
  <c r="DB9" i="4"/>
  <c r="DB10" i="4"/>
  <c r="DB11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9" i="4"/>
  <c r="DB30" i="4"/>
  <c r="DB3" i="4"/>
  <c r="DA4" i="4"/>
  <c r="DA5" i="4"/>
  <c r="DA6" i="4"/>
  <c r="DA7" i="4"/>
  <c r="DA8" i="4"/>
  <c r="DA9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" i="4"/>
  <c r="CY4" i="4"/>
  <c r="CY5" i="4"/>
  <c r="CY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" i="4"/>
  <c r="CV4" i="4"/>
  <c r="CW4" i="4" s="1"/>
  <c r="CV5" i="4"/>
  <c r="CW5" i="4" s="1"/>
  <c r="CV6" i="4"/>
  <c r="CW6" i="4" s="1"/>
  <c r="CV7" i="4"/>
  <c r="CW7" i="4" s="1"/>
  <c r="CV8" i="4"/>
  <c r="CW8" i="4" s="1"/>
  <c r="CV9" i="4"/>
  <c r="CW9" i="4" s="1"/>
  <c r="CV10" i="4"/>
  <c r="CW10" i="4" s="1"/>
  <c r="CV11" i="4"/>
  <c r="CW11" i="4" s="1"/>
  <c r="CV12" i="4"/>
  <c r="CW12" i="4" s="1"/>
  <c r="CV13" i="4"/>
  <c r="CW13" i="4" s="1"/>
  <c r="CV14" i="4"/>
  <c r="CW14" i="4" s="1"/>
  <c r="CV15" i="4"/>
  <c r="CW15" i="4" s="1"/>
  <c r="CV16" i="4"/>
  <c r="CW16" i="4" s="1"/>
  <c r="CV17" i="4"/>
  <c r="CW17" i="4" s="1"/>
  <c r="CV18" i="4"/>
  <c r="CW18" i="4" s="1"/>
  <c r="CV19" i="4"/>
  <c r="CW19" i="4" s="1"/>
  <c r="CV20" i="4"/>
  <c r="CW20" i="4" s="1"/>
  <c r="CV21" i="4"/>
  <c r="CW21" i="4" s="1"/>
  <c r="CV22" i="4"/>
  <c r="CW22" i="4" s="1"/>
  <c r="CV23" i="4"/>
  <c r="CW23" i="4" s="1"/>
  <c r="CV24" i="4"/>
  <c r="CW24" i="4" s="1"/>
  <c r="CV25" i="4"/>
  <c r="CW25" i="4" s="1"/>
  <c r="CV26" i="4"/>
  <c r="CW26" i="4" s="1"/>
  <c r="CV27" i="4"/>
  <c r="CW27" i="4" s="1"/>
  <c r="CV28" i="4"/>
  <c r="CW28" i="4" s="1"/>
  <c r="CV29" i="4"/>
  <c r="CW29" i="4" s="1"/>
  <c r="CV30" i="4"/>
  <c r="CW30" i="4" s="1"/>
  <c r="CV3" i="4"/>
  <c r="CW3" i="4" s="1"/>
  <c r="CS4" i="4"/>
  <c r="CS5" i="4"/>
  <c r="CS6" i="4"/>
  <c r="CS7" i="4"/>
  <c r="CS8" i="4"/>
  <c r="CS9" i="4"/>
  <c r="CS10" i="4"/>
  <c r="CS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" i="4"/>
  <c r="CM4" i="4"/>
  <c r="CM5" i="4"/>
  <c r="CM6" i="4"/>
  <c r="CM7" i="4"/>
  <c r="CM8" i="4"/>
  <c r="CM9" i="4"/>
  <c r="CM10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" i="4"/>
  <c r="CL19" i="4"/>
  <c r="CL4" i="4"/>
  <c r="CL5" i="4"/>
  <c r="CL6" i="4"/>
  <c r="CL7" i="4"/>
  <c r="CL8" i="4"/>
  <c r="CL9" i="4"/>
  <c r="CL10" i="4"/>
  <c r="CL11" i="4"/>
  <c r="CL12" i="4"/>
  <c r="CL13" i="4"/>
  <c r="CL14" i="4"/>
  <c r="CL15" i="4"/>
  <c r="CL16" i="4"/>
  <c r="CL17" i="4"/>
  <c r="CL18" i="4"/>
  <c r="CL20" i="4"/>
  <c r="CL21" i="4"/>
  <c r="CL22" i="4"/>
  <c r="CL23" i="4"/>
  <c r="CL24" i="4"/>
  <c r="CL25" i="4"/>
  <c r="CL26" i="4"/>
  <c r="CL27" i="4"/>
  <c r="CL28" i="4"/>
  <c r="CL29" i="4"/>
  <c r="CL30" i="4"/>
  <c r="CL3" i="4"/>
  <c r="CJ19" i="4"/>
  <c r="CJ4" i="4"/>
  <c r="CJ5" i="4"/>
  <c r="CJ6" i="4"/>
  <c r="CJ7" i="4"/>
  <c r="CJ8" i="4"/>
  <c r="CJ9" i="4"/>
  <c r="CJ10" i="4"/>
  <c r="CJ11" i="4"/>
  <c r="CJ12" i="4"/>
  <c r="CJ13" i="4"/>
  <c r="CJ14" i="4"/>
  <c r="CJ15" i="4"/>
  <c r="CJ16" i="4"/>
  <c r="CJ17" i="4"/>
  <c r="CJ18" i="4"/>
  <c r="CJ20" i="4"/>
  <c r="CJ21" i="4"/>
  <c r="CJ22" i="4"/>
  <c r="CJ23" i="4"/>
  <c r="CJ24" i="4"/>
  <c r="CJ25" i="4"/>
  <c r="CJ26" i="4"/>
  <c r="CJ27" i="4"/>
  <c r="CJ28" i="4"/>
  <c r="CJ29" i="4"/>
  <c r="CJ30" i="4"/>
  <c r="CJ3" i="4"/>
  <c r="CG4" i="4"/>
  <c r="CH4" i="4" s="1"/>
  <c r="CG5" i="4"/>
  <c r="CH5" i="4" s="1"/>
  <c r="CG6" i="4"/>
  <c r="CH6" i="4" s="1"/>
  <c r="CG7" i="4"/>
  <c r="CH7" i="4" s="1"/>
  <c r="CG8" i="4"/>
  <c r="CH8" i="4" s="1"/>
  <c r="CG9" i="4"/>
  <c r="CH9" i="4" s="1"/>
  <c r="CG10" i="4"/>
  <c r="CH10" i="4" s="1"/>
  <c r="CG11" i="4"/>
  <c r="CH11" i="4" s="1"/>
  <c r="CG12" i="4"/>
  <c r="CH12" i="4" s="1"/>
  <c r="CG13" i="4"/>
  <c r="CH13" i="4" s="1"/>
  <c r="CG14" i="4"/>
  <c r="CH14" i="4" s="1"/>
  <c r="CG15" i="4"/>
  <c r="CH15" i="4" s="1"/>
  <c r="CG16" i="4"/>
  <c r="CH16" i="4" s="1"/>
  <c r="CG17" i="4"/>
  <c r="CH17" i="4" s="1"/>
  <c r="CG18" i="4"/>
  <c r="CH18" i="4" s="1"/>
  <c r="CG19" i="4"/>
  <c r="CH19" i="4" s="1"/>
  <c r="CG20" i="4"/>
  <c r="CH20" i="4" s="1"/>
  <c r="CG21" i="4"/>
  <c r="CH21" i="4" s="1"/>
  <c r="CG22" i="4"/>
  <c r="CH22" i="4" s="1"/>
  <c r="CG23" i="4"/>
  <c r="CH23" i="4" s="1"/>
  <c r="CG24" i="4"/>
  <c r="CH24" i="4" s="1"/>
  <c r="CG25" i="4"/>
  <c r="CH25" i="4" s="1"/>
  <c r="CG26" i="4"/>
  <c r="CH26" i="4" s="1"/>
  <c r="CG27" i="4"/>
  <c r="CH27" i="4" s="1"/>
  <c r="CG28" i="4"/>
  <c r="CH28" i="4" s="1"/>
  <c r="CG29" i="4"/>
  <c r="CH29" i="4" s="1"/>
  <c r="CG30" i="4"/>
  <c r="CH30" i="4" s="1"/>
  <c r="CG3" i="4"/>
  <c r="CH3" i="4" s="1"/>
  <c r="CD4" i="4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" i="4"/>
  <c r="CB4" i="4"/>
  <c r="CB5" i="4"/>
  <c r="CB6" i="4"/>
  <c r="CB7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" i="4"/>
  <c r="BU15" i="4"/>
  <c r="BW18" i="4"/>
  <c r="BW4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" i="4"/>
  <c r="BX16" i="4"/>
  <c r="BX4" i="4"/>
  <c r="BX5" i="4"/>
  <c r="BX6" i="4"/>
  <c r="BX7" i="4"/>
  <c r="BX8" i="4"/>
  <c r="BX9" i="4"/>
  <c r="BX10" i="4"/>
  <c r="BX11" i="4"/>
  <c r="BX12" i="4"/>
  <c r="BX13" i="4"/>
  <c r="BX14" i="4"/>
  <c r="BX15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" i="4"/>
  <c r="BU4" i="4"/>
  <c r="BU5" i="4"/>
  <c r="BU6" i="4"/>
  <c r="BU7" i="4"/>
  <c r="BU8" i="4"/>
  <c r="BU9" i="4"/>
  <c r="BU10" i="4"/>
  <c r="BU11" i="4"/>
  <c r="BU12" i="4"/>
  <c r="BU13" i="4"/>
  <c r="BU14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" i="4"/>
  <c r="BO4" i="4"/>
  <c r="BO5" i="4"/>
  <c r="BO6" i="4"/>
  <c r="BO7" i="4"/>
  <c r="BO8" i="4"/>
  <c r="BO9" i="4"/>
  <c r="BO10" i="4"/>
  <c r="BO11" i="4"/>
  <c r="BP11" i="4" s="1"/>
  <c r="BO12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R3" i="4"/>
  <c r="BS3" i="4" s="1"/>
  <c r="BM3" i="4"/>
  <c r="BP3" i="4" s="1"/>
  <c r="BI4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" i="4"/>
  <c r="BF19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21" i="4"/>
  <c r="BF22" i="4"/>
  <c r="BF23" i="4"/>
  <c r="BF24" i="4"/>
  <c r="BF25" i="4"/>
  <c r="BF26" i="4"/>
  <c r="BF27" i="4"/>
  <c r="BF28" i="4"/>
  <c r="BF29" i="4"/>
  <c r="BF30" i="4"/>
  <c r="BF3" i="4"/>
  <c r="BC5" i="4"/>
  <c r="BD5" i="4" s="1"/>
  <c r="BC6" i="4"/>
  <c r="BD6" i="4" s="1"/>
  <c r="BC7" i="4"/>
  <c r="BD7" i="4" s="1"/>
  <c r="BC8" i="4"/>
  <c r="BD8" i="4" s="1"/>
  <c r="BC9" i="4"/>
  <c r="BD9" i="4" s="1"/>
  <c r="BC10" i="4"/>
  <c r="BD10" i="4" s="1"/>
  <c r="BC11" i="4"/>
  <c r="BD11" i="4" s="1"/>
  <c r="BC12" i="4"/>
  <c r="BD12" i="4" s="1"/>
  <c r="BC13" i="4"/>
  <c r="BD13" i="4" s="1"/>
  <c r="BC14" i="4"/>
  <c r="BD14" i="4" s="1"/>
  <c r="BC15" i="4"/>
  <c r="BD15" i="4" s="1"/>
  <c r="BC16" i="4"/>
  <c r="BD16" i="4" s="1"/>
  <c r="BC17" i="4"/>
  <c r="BD17" i="4" s="1"/>
  <c r="BC18" i="4"/>
  <c r="BD18" i="4" s="1"/>
  <c r="BC19" i="4"/>
  <c r="BD19" i="4" s="1"/>
  <c r="BC20" i="4"/>
  <c r="BD20" i="4" s="1"/>
  <c r="BC21" i="4"/>
  <c r="BD21" i="4" s="1"/>
  <c r="BC22" i="4"/>
  <c r="BD22" i="4" s="1"/>
  <c r="BC23" i="4"/>
  <c r="BD23" i="4" s="1"/>
  <c r="BC24" i="4"/>
  <c r="BD24" i="4" s="1"/>
  <c r="BC25" i="4"/>
  <c r="BD25" i="4" s="1"/>
  <c r="BC26" i="4"/>
  <c r="BD26" i="4" s="1"/>
  <c r="BC27" i="4"/>
  <c r="BD27" i="4" s="1"/>
  <c r="BC28" i="4"/>
  <c r="BD28" i="4" s="1"/>
  <c r="BC29" i="4"/>
  <c r="BD29" i="4" s="1"/>
  <c r="BC30" i="4"/>
  <c r="BD30" i="4" s="1"/>
  <c r="BC3" i="4"/>
  <c r="BD3" i="4" s="1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Q7" i="4"/>
  <c r="AQ4" i="4"/>
  <c r="AQ5" i="4"/>
  <c r="AQ6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T3" i="4"/>
  <c r="AS3" i="4"/>
  <c r="AQ3" i="4"/>
  <c r="AN3" i="4"/>
  <c r="AO3" i="4" s="1"/>
  <c r="AK3" i="4"/>
  <c r="AI3" i="4"/>
  <c r="AE3" i="4"/>
  <c r="AD3" i="4"/>
  <c r="AB3" i="4"/>
  <c r="Y3" i="4"/>
  <c r="Z3" i="4" s="1"/>
  <c r="BP29" i="4" l="1"/>
  <c r="BP8" i="4"/>
  <c r="AL16" i="4"/>
  <c r="BP15" i="4"/>
  <c r="BP7" i="4"/>
  <c r="BP6" i="4"/>
  <c r="AL5" i="4"/>
  <c r="DI4" i="4"/>
  <c r="FB17" i="4"/>
  <c r="BP10" i="4"/>
  <c r="CT28" i="4"/>
  <c r="AL7" i="4"/>
  <c r="CE26" i="4"/>
  <c r="AL24" i="4"/>
  <c r="AL23" i="4"/>
  <c r="AL22" i="4"/>
  <c r="CT22" i="4"/>
  <c r="AL21" i="4"/>
  <c r="AL20" i="4"/>
  <c r="AL19" i="4"/>
  <c r="FB16" i="4"/>
  <c r="BA19" i="4"/>
  <c r="AL18" i="4"/>
  <c r="FB15" i="4"/>
  <c r="BP12" i="4"/>
  <c r="AL12" i="4"/>
  <c r="AL10" i="4"/>
  <c r="CT10" i="4"/>
  <c r="BP9" i="4"/>
  <c r="AL9" i="4"/>
  <c r="EM3" i="4"/>
  <c r="BA3" i="4"/>
  <c r="FB3" i="4"/>
  <c r="FB14" i="4"/>
  <c r="EM8" i="4"/>
  <c r="EM30" i="4"/>
  <c r="EM29" i="4"/>
  <c r="EM9" i="4"/>
  <c r="EM7" i="4"/>
  <c r="EM24" i="4"/>
  <c r="DI5" i="4"/>
  <c r="CE24" i="4"/>
  <c r="CE4" i="4"/>
  <c r="BP14" i="4"/>
  <c r="BP5" i="4"/>
  <c r="BP4" i="4"/>
  <c r="BP13" i="4"/>
  <c r="AL17" i="4"/>
  <c r="AL15" i="4"/>
  <c r="AL14" i="4"/>
  <c r="AL13" i="4"/>
  <c r="AL8" i="4"/>
  <c r="AL6" i="4"/>
  <c r="BP16" i="4"/>
  <c r="AL3" i="4"/>
  <c r="FB13" i="4"/>
  <c r="FB12" i="4"/>
  <c r="BA10" i="4"/>
  <c r="BA9" i="4"/>
  <c r="CT18" i="4"/>
  <c r="DI13" i="4"/>
  <c r="BA11" i="4"/>
  <c r="BA8" i="4"/>
  <c r="CT17" i="4"/>
  <c r="DI12" i="4"/>
  <c r="AL4" i="4"/>
  <c r="BA7" i="4"/>
  <c r="CE18" i="4"/>
  <c r="CT16" i="4"/>
  <c r="DI11" i="4"/>
  <c r="BA26" i="4"/>
  <c r="BA6" i="4"/>
  <c r="CE17" i="4"/>
  <c r="CT15" i="4"/>
  <c r="DI10" i="4"/>
  <c r="BA5" i="4"/>
  <c r="CT3" i="4"/>
  <c r="AL11" i="4"/>
  <c r="CT13" i="4"/>
  <c r="EM18" i="4"/>
  <c r="CT12" i="4"/>
  <c r="DI7" i="4"/>
  <c r="EM17" i="4"/>
  <c r="BA25" i="4"/>
  <c r="CT14" i="4"/>
  <c r="DI9" i="4"/>
  <c r="DI8" i="4"/>
  <c r="CT11" i="4"/>
  <c r="DI6" i="4"/>
  <c r="FB30" i="4"/>
  <c r="DI30" i="4"/>
  <c r="CT30" i="4"/>
  <c r="CE30" i="4"/>
  <c r="BA30" i="4"/>
  <c r="AL30" i="4"/>
  <c r="CT29" i="4"/>
  <c r="CE29" i="4"/>
  <c r="FB24" i="4"/>
  <c r="EM27" i="4"/>
  <c r="FB25" i="4"/>
  <c r="BP30" i="4"/>
  <c r="BP28" i="4"/>
  <c r="BA29" i="4"/>
  <c r="AL29" i="4"/>
  <c r="DI29" i="4"/>
  <c r="FB29" i="4"/>
  <c r="DI27" i="4"/>
  <c r="DI26" i="4"/>
  <c r="CT27" i="4"/>
  <c r="BP26" i="4"/>
  <c r="AL28" i="4"/>
  <c r="DI28" i="4"/>
  <c r="FB28" i="4"/>
  <c r="BA28" i="4"/>
  <c r="CE28" i="4"/>
  <c r="EM28" i="4"/>
  <c r="AL27" i="4"/>
  <c r="CE27" i="4"/>
  <c r="FB27" i="4"/>
  <c r="BA27" i="4"/>
  <c r="BP27" i="4"/>
  <c r="CE25" i="4"/>
  <c r="BP25" i="4"/>
  <c r="AL25" i="4"/>
  <c r="FB26" i="4"/>
  <c r="CT26" i="4"/>
  <c r="EM26" i="4"/>
  <c r="AL26" i="4"/>
  <c r="CT25" i="4"/>
  <c r="EM25" i="4"/>
  <c r="DI25" i="4"/>
  <c r="FB23" i="4"/>
  <c r="FB22" i="4"/>
  <c r="FB21" i="4"/>
  <c r="FB20" i="4"/>
  <c r="FB19" i="4"/>
  <c r="FB18" i="4"/>
  <c r="EM19" i="4"/>
  <c r="DI23" i="4"/>
  <c r="DI22" i="4"/>
  <c r="DI21" i="4"/>
  <c r="DI20" i="4"/>
  <c r="CE23" i="4"/>
  <c r="CE21" i="4"/>
  <c r="CE20" i="4"/>
  <c r="CE19" i="4"/>
  <c r="BP23" i="4"/>
  <c r="BA23" i="4"/>
  <c r="DI24" i="4"/>
  <c r="EM23" i="4"/>
  <c r="BP24" i="4"/>
  <c r="BA24" i="4"/>
  <c r="CT24" i="4"/>
  <c r="CT23" i="4"/>
  <c r="CE22" i="4"/>
  <c r="EM22" i="4"/>
  <c r="BA22" i="4"/>
  <c r="EM14" i="4"/>
  <c r="CT21" i="4"/>
  <c r="CT20" i="4"/>
  <c r="EM21" i="4"/>
  <c r="EM20" i="4"/>
  <c r="BP21" i="4"/>
  <c r="BA21" i="4"/>
  <c r="BA20" i="4"/>
  <c r="BP20" i="4"/>
  <c r="FB11" i="4"/>
  <c r="FB10" i="4"/>
  <c r="FB9" i="4"/>
  <c r="FB8" i="4"/>
  <c r="FB7" i="4"/>
  <c r="FB6" i="4"/>
  <c r="FB5" i="4"/>
  <c r="FB4" i="4"/>
  <c r="EM16" i="4"/>
  <c r="EM15" i="4"/>
  <c r="EM13" i="4"/>
  <c r="EM12" i="4"/>
  <c r="EM11" i="4"/>
  <c r="EM10" i="4"/>
  <c r="EM6" i="4"/>
  <c r="EM5" i="4"/>
  <c r="EM4" i="4"/>
  <c r="DX3" i="4"/>
  <c r="DI18" i="4"/>
  <c r="DI17" i="4"/>
  <c r="DI16" i="4"/>
  <c r="DI15" i="4"/>
  <c r="DI14" i="4"/>
  <c r="DI3" i="4"/>
  <c r="CT9" i="4"/>
  <c r="CT8" i="4"/>
  <c r="CT7" i="4"/>
  <c r="CT6" i="4"/>
  <c r="CT5" i="4"/>
  <c r="CT4" i="4"/>
  <c r="CE16" i="4"/>
  <c r="CE15" i="4"/>
  <c r="CE14" i="4"/>
  <c r="CE13" i="4"/>
  <c r="CE12" i="4"/>
  <c r="CE11" i="4"/>
  <c r="CE10" i="4"/>
  <c r="CE9" i="4"/>
  <c r="CE8" i="4"/>
  <c r="CE7" i="4"/>
  <c r="CE6" i="4"/>
  <c r="CE5" i="4"/>
  <c r="CE3" i="4"/>
  <c r="BP18" i="4"/>
  <c r="BP17" i="4"/>
  <c r="BP22" i="4"/>
  <c r="BA18" i="4"/>
  <c r="BA17" i="4"/>
  <c r="BA16" i="4"/>
  <c r="BA15" i="4"/>
  <c r="BA14" i="4"/>
  <c r="BA13" i="4"/>
  <c r="BA12" i="4"/>
  <c r="BA4" i="4"/>
  <c r="CT19" i="4"/>
  <c r="DI19" i="4"/>
  <c r="BP19" i="4"/>
  <c r="AE4" i="4"/>
  <c r="AE5" i="4"/>
  <c r="AE6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B4" i="4"/>
  <c r="AB5" i="4"/>
  <c r="AB6" i="4"/>
  <c r="AB8" i="4"/>
  <c r="AB9" i="4"/>
  <c r="AB10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Y4" i="4"/>
  <c r="Z4" i="4" s="1"/>
  <c r="Y5" i="4"/>
  <c r="Z5" i="4" s="1"/>
  <c r="Y6" i="4"/>
  <c r="Z6" i="4" s="1"/>
  <c r="Y7" i="4"/>
  <c r="Z7" i="4" s="1"/>
  <c r="Y8" i="4"/>
  <c r="Z8" i="4" s="1"/>
  <c r="Y9" i="4"/>
  <c r="Z9" i="4" s="1"/>
  <c r="Y10" i="4"/>
  <c r="Z10" i="4" s="1"/>
  <c r="Y11" i="4"/>
  <c r="Z11" i="4" s="1"/>
  <c r="Y12" i="4"/>
  <c r="Z12" i="4" s="1"/>
  <c r="Y13" i="4"/>
  <c r="Z13" i="4" s="1"/>
  <c r="Y14" i="4"/>
  <c r="Z14" i="4" s="1"/>
  <c r="Y15" i="4"/>
  <c r="Z15" i="4" s="1"/>
  <c r="Y16" i="4"/>
  <c r="Z16" i="4" s="1"/>
  <c r="Y17" i="4"/>
  <c r="Z17" i="4" s="1"/>
  <c r="Y18" i="4"/>
  <c r="Z18" i="4" s="1"/>
  <c r="Y19" i="4"/>
  <c r="Z19" i="4" s="1"/>
  <c r="Y20" i="4"/>
  <c r="Z20" i="4" s="1"/>
  <c r="Y21" i="4"/>
  <c r="Z21" i="4" s="1"/>
  <c r="Y22" i="4"/>
  <c r="Z22" i="4" s="1"/>
  <c r="Y23" i="4"/>
  <c r="Z23" i="4" s="1"/>
  <c r="Y24" i="4"/>
  <c r="Z24" i="4" s="1"/>
  <c r="Y25" i="4"/>
  <c r="Z25" i="4" s="1"/>
  <c r="Y26" i="4"/>
  <c r="Z26" i="4" s="1"/>
  <c r="Y27" i="4"/>
  <c r="Z27" i="4" s="1"/>
  <c r="Y28" i="4"/>
  <c r="Z28" i="4" s="1"/>
  <c r="Y29" i="4"/>
  <c r="Z29" i="4" s="1"/>
  <c r="Y30" i="4"/>
  <c r="Z30" i="4" s="1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T7" i="4"/>
  <c r="E6" i="5" s="1"/>
  <c r="T4" i="4"/>
  <c r="T5" i="4"/>
  <c r="T6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W3" i="4"/>
  <c r="NF30" i="4"/>
  <c r="NG30" i="4" s="1"/>
  <c r="NF29" i="4"/>
  <c r="NG29" i="4" s="1"/>
  <c r="NF28" i="4"/>
  <c r="NG28" i="4" s="1"/>
  <c r="NF27" i="4"/>
  <c r="NG27" i="4" s="1"/>
  <c r="NF26" i="4"/>
  <c r="NG26" i="4" s="1"/>
  <c r="NF25" i="4"/>
  <c r="NG25" i="4" s="1"/>
  <c r="NF24" i="4"/>
  <c r="NG24" i="4" s="1"/>
  <c r="NF23" i="4"/>
  <c r="NG23" i="4" s="1"/>
  <c r="NF22" i="4"/>
  <c r="NG22" i="4" s="1"/>
  <c r="NF21" i="4"/>
  <c r="NG21" i="4" s="1"/>
  <c r="NF20" i="4"/>
  <c r="NG20" i="4" s="1"/>
  <c r="NF19" i="4"/>
  <c r="NG19" i="4" s="1"/>
  <c r="NF18" i="4"/>
  <c r="NG18" i="4" s="1"/>
  <c r="NF17" i="4"/>
  <c r="NG17" i="4" s="1"/>
  <c r="NF16" i="4"/>
  <c r="NG16" i="4" s="1"/>
  <c r="NF15" i="4"/>
  <c r="NG15" i="4" s="1"/>
  <c r="NF14" i="4"/>
  <c r="NG14" i="4" s="1"/>
  <c r="NF13" i="4"/>
  <c r="NG13" i="4" s="1"/>
  <c r="NF12" i="4"/>
  <c r="NG12" i="4" s="1"/>
  <c r="NF11" i="4"/>
  <c r="NG11" i="4" s="1"/>
  <c r="NF10" i="4"/>
  <c r="NG10" i="4" s="1"/>
  <c r="NF9" i="4"/>
  <c r="NG9" i="4" s="1"/>
  <c r="NF8" i="4"/>
  <c r="NG8" i="4" s="1"/>
  <c r="NF7" i="4"/>
  <c r="NG7" i="4" s="1"/>
  <c r="NF6" i="4"/>
  <c r="NG6" i="4" s="1"/>
  <c r="NF5" i="4"/>
  <c r="NG5" i="4" s="1"/>
  <c r="NF4" i="4"/>
  <c r="NG4" i="4" s="1"/>
  <c r="MB30" i="4"/>
  <c r="MC30" i="4" s="1"/>
  <c r="MB29" i="4"/>
  <c r="MC29" i="4" s="1"/>
  <c r="MB28" i="4"/>
  <c r="MC28" i="4" s="1"/>
  <c r="MB27" i="4"/>
  <c r="MC27" i="4" s="1"/>
  <c r="MB26" i="4"/>
  <c r="MC26" i="4" s="1"/>
  <c r="MB25" i="4"/>
  <c r="MC25" i="4" s="1"/>
  <c r="MB24" i="4"/>
  <c r="MC24" i="4" s="1"/>
  <c r="MB23" i="4"/>
  <c r="MC23" i="4" s="1"/>
  <c r="MB22" i="4"/>
  <c r="MC22" i="4" s="1"/>
  <c r="MB21" i="4"/>
  <c r="MC21" i="4" s="1"/>
  <c r="MB20" i="4"/>
  <c r="MC20" i="4" s="1"/>
  <c r="MB19" i="4"/>
  <c r="MC19" i="4" s="1"/>
  <c r="MB18" i="4"/>
  <c r="MC18" i="4" s="1"/>
  <c r="MB17" i="4"/>
  <c r="MC17" i="4" s="1"/>
  <c r="MB16" i="4"/>
  <c r="MC16" i="4" s="1"/>
  <c r="MB15" i="4"/>
  <c r="MC15" i="4" s="1"/>
  <c r="MB14" i="4"/>
  <c r="MC14" i="4" s="1"/>
  <c r="MB13" i="4"/>
  <c r="MC13" i="4" s="1"/>
  <c r="MB12" i="4"/>
  <c r="MC12" i="4" s="1"/>
  <c r="MB11" i="4"/>
  <c r="MC11" i="4" s="1"/>
  <c r="MB10" i="4"/>
  <c r="MC10" i="4" s="1"/>
  <c r="MB9" i="4"/>
  <c r="MC9" i="4" s="1"/>
  <c r="MB8" i="4"/>
  <c r="MC8" i="4" s="1"/>
  <c r="MB7" i="4"/>
  <c r="MC7" i="4" s="1"/>
  <c r="MB6" i="4"/>
  <c r="MC6" i="4" s="1"/>
  <c r="MB5" i="4"/>
  <c r="MC5" i="4" s="1"/>
  <c r="MB4" i="4"/>
  <c r="MC4" i="4" s="1"/>
  <c r="IA30" i="4"/>
  <c r="IB30" i="4" s="1"/>
  <c r="HY30" i="4"/>
  <c r="IA29" i="4"/>
  <c r="IB29" i="4" s="1"/>
  <c r="IA28" i="4"/>
  <c r="IB28" i="4" s="1"/>
  <c r="IA27" i="4"/>
  <c r="IB27" i="4" s="1"/>
  <c r="IA26" i="4"/>
  <c r="IB26" i="4" s="1"/>
  <c r="IA25" i="4"/>
  <c r="IB25" i="4" s="1"/>
  <c r="IA24" i="4"/>
  <c r="IB24" i="4" s="1"/>
  <c r="IA23" i="4"/>
  <c r="IB23" i="4" s="1"/>
  <c r="IA22" i="4"/>
  <c r="IB22" i="4" s="1"/>
  <c r="HY22" i="4"/>
  <c r="IA21" i="4"/>
  <c r="IB21" i="4" s="1"/>
  <c r="IA20" i="4"/>
  <c r="IB20" i="4" s="1"/>
  <c r="IA19" i="4"/>
  <c r="IB19" i="4" s="1"/>
  <c r="HY19" i="4"/>
  <c r="IA18" i="4"/>
  <c r="IB18" i="4" s="1"/>
  <c r="IA17" i="4"/>
  <c r="IB17" i="4" s="1"/>
  <c r="IA16" i="4"/>
  <c r="IB16" i="4" s="1"/>
  <c r="HY16" i="4"/>
  <c r="IA15" i="4"/>
  <c r="IB15" i="4" s="1"/>
  <c r="IA14" i="4"/>
  <c r="IB14" i="4" s="1"/>
  <c r="HY14" i="4"/>
  <c r="IA13" i="4"/>
  <c r="IB13" i="4" s="1"/>
  <c r="HY13" i="4"/>
  <c r="IA12" i="4"/>
  <c r="IB12" i="4" s="1"/>
  <c r="IA11" i="4"/>
  <c r="IB11" i="4" s="1"/>
  <c r="HY11" i="4"/>
  <c r="IA10" i="4"/>
  <c r="IB10" i="4" s="1"/>
  <c r="HY10" i="4"/>
  <c r="IA9" i="4"/>
  <c r="IB9" i="4" s="1"/>
  <c r="HY9" i="4"/>
  <c r="IA8" i="4"/>
  <c r="IB8" i="4" s="1"/>
  <c r="HY8" i="4"/>
  <c r="IA7" i="4"/>
  <c r="IB7" i="4" s="1"/>
  <c r="HY7" i="4"/>
  <c r="IA6" i="4"/>
  <c r="IB6" i="4" s="1"/>
  <c r="HY6" i="4"/>
  <c r="IA5" i="4"/>
  <c r="IB5" i="4" s="1"/>
  <c r="HY5" i="4"/>
  <c r="IA4" i="4"/>
  <c r="IB4" i="4" s="1"/>
  <c r="HY4" i="4"/>
  <c r="DZ30" i="4"/>
  <c r="EA30" i="4" s="1"/>
  <c r="DX30" i="4"/>
  <c r="DZ29" i="4"/>
  <c r="EA29" i="4" s="1"/>
  <c r="DZ28" i="4"/>
  <c r="EA28" i="4" s="1"/>
  <c r="DX28" i="4"/>
  <c r="DZ27" i="4"/>
  <c r="EA27" i="4" s="1"/>
  <c r="DZ26" i="4"/>
  <c r="EA26" i="4" s="1"/>
  <c r="DX26" i="4"/>
  <c r="DZ25" i="4"/>
  <c r="EA25" i="4" s="1"/>
  <c r="DX25" i="4"/>
  <c r="DZ24" i="4"/>
  <c r="EA24" i="4" s="1"/>
  <c r="DX24" i="4"/>
  <c r="DZ23" i="4"/>
  <c r="EA23" i="4" s="1"/>
  <c r="DZ22" i="4"/>
  <c r="EA22" i="4" s="1"/>
  <c r="DX22" i="4"/>
  <c r="DZ21" i="4"/>
  <c r="EA21" i="4" s="1"/>
  <c r="DX21" i="4"/>
  <c r="DZ20" i="4"/>
  <c r="EA20" i="4" s="1"/>
  <c r="DX20" i="4"/>
  <c r="DZ19" i="4"/>
  <c r="EA19" i="4" s="1"/>
  <c r="DZ18" i="4"/>
  <c r="EA18" i="4" s="1"/>
  <c r="DZ17" i="4"/>
  <c r="EA17" i="4" s="1"/>
  <c r="DX17" i="4"/>
  <c r="DZ16" i="4"/>
  <c r="EA16" i="4" s="1"/>
  <c r="DZ15" i="4"/>
  <c r="EA15" i="4" s="1"/>
  <c r="DX15" i="4"/>
  <c r="DZ14" i="4"/>
  <c r="EA14" i="4" s="1"/>
  <c r="DX14" i="4"/>
  <c r="DZ13" i="4"/>
  <c r="EA13" i="4" s="1"/>
  <c r="DZ12" i="4"/>
  <c r="EA12" i="4" s="1"/>
  <c r="DX12" i="4"/>
  <c r="DZ11" i="4"/>
  <c r="EA11" i="4" s="1"/>
  <c r="DX11" i="4"/>
  <c r="DZ10" i="4"/>
  <c r="EA10" i="4" s="1"/>
  <c r="DX10" i="4"/>
  <c r="DZ9" i="4"/>
  <c r="EA9" i="4" s="1"/>
  <c r="DX9" i="4"/>
  <c r="DZ8" i="4"/>
  <c r="EA8" i="4" s="1"/>
  <c r="DZ7" i="4"/>
  <c r="EA7" i="4" s="1"/>
  <c r="DZ6" i="4"/>
  <c r="EA6" i="4" s="1"/>
  <c r="DX6" i="4"/>
  <c r="DZ5" i="4"/>
  <c r="EA5" i="4" s="1"/>
  <c r="DX5" i="4"/>
  <c r="DZ4" i="4"/>
  <c r="EA4" i="4" s="1"/>
  <c r="W19" i="4" l="1"/>
  <c r="W4" i="4"/>
  <c r="W23" i="4"/>
  <c r="W25" i="4"/>
  <c r="W22" i="4"/>
  <c r="W24" i="4"/>
  <c r="W14" i="4"/>
  <c r="W8" i="4"/>
  <c r="W7" i="4"/>
  <c r="W28" i="4"/>
  <c r="W30" i="4"/>
  <c r="W29" i="4"/>
  <c r="W27" i="4"/>
  <c r="W26" i="4"/>
  <c r="W20" i="4"/>
  <c r="W21" i="4"/>
  <c r="HY12" i="4"/>
  <c r="HY25" i="4"/>
  <c r="HY28" i="4"/>
  <c r="HY17" i="4"/>
  <c r="W17" i="4"/>
  <c r="W16" i="4"/>
  <c r="W15" i="4"/>
  <c r="W13" i="4"/>
  <c r="HY20" i="4"/>
  <c r="HY23" i="4"/>
  <c r="HY26" i="4"/>
  <c r="HY29" i="4"/>
  <c r="HY15" i="4"/>
  <c r="HY18" i="4"/>
  <c r="HY21" i="4"/>
  <c r="HY24" i="4"/>
  <c r="HY27" i="4"/>
  <c r="DX4" i="4"/>
  <c r="DX23" i="4"/>
  <c r="DX7" i="4"/>
  <c r="DX8" i="4"/>
  <c r="DX27" i="4"/>
  <c r="DX18" i="4"/>
  <c r="DX19" i="4"/>
  <c r="DX16" i="4"/>
  <c r="DX13" i="4"/>
  <c r="DX29" i="4"/>
  <c r="W12" i="4"/>
  <c r="W11" i="4"/>
  <c r="W10" i="4"/>
  <c r="W6" i="4"/>
  <c r="W18" i="4"/>
  <c r="W5" i="4"/>
  <c r="W9" i="4"/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5" i="5"/>
  <c r="D4" i="5"/>
  <c r="D3" i="5"/>
  <c r="M2" i="5"/>
  <c r="L2" i="5"/>
  <c r="I2" i="5"/>
  <c r="F2" i="5"/>
  <c r="G4" i="5"/>
  <c r="G6" i="5"/>
  <c r="G2" i="5"/>
  <c r="E4" i="5"/>
  <c r="E19" i="5"/>
  <c r="G7" i="5"/>
  <c r="G11" i="5"/>
  <c r="G13" i="5"/>
  <c r="G16" i="5"/>
  <c r="G18" i="5"/>
  <c r="G19" i="5"/>
  <c r="G23" i="5"/>
  <c r="G26" i="5"/>
  <c r="G28" i="5"/>
  <c r="G31" i="5"/>
  <c r="E13" i="5"/>
  <c r="E15" i="5"/>
  <c r="E21" i="5"/>
  <c r="E25" i="5"/>
  <c r="E2" i="5"/>
  <c r="E5" i="5" l="1"/>
  <c r="G30" i="5"/>
  <c r="E30" i="5"/>
  <c r="G29" i="5"/>
  <c r="E29" i="5"/>
  <c r="G27" i="5"/>
  <c r="G25" i="5"/>
  <c r="G24" i="5"/>
  <c r="E24" i="5"/>
  <c r="E23" i="5"/>
  <c r="E22" i="5"/>
  <c r="G17" i="5"/>
  <c r="E17" i="5"/>
  <c r="E16" i="5"/>
  <c r="G14" i="5"/>
  <c r="E14" i="5"/>
  <c r="G12" i="5"/>
  <c r="E11" i="5"/>
  <c r="G10" i="5"/>
  <c r="E9" i="5"/>
  <c r="E8" i="5"/>
  <c r="E7" i="5"/>
  <c r="G3" i="5"/>
  <c r="E18" i="5"/>
  <c r="E26" i="5"/>
  <c r="G21" i="5"/>
  <c r="G15" i="5"/>
  <c r="E20" i="5"/>
  <c r="G8" i="5"/>
  <c r="E12" i="5"/>
  <c r="G20" i="5"/>
  <c r="G9" i="5"/>
  <c r="G5" i="5"/>
  <c r="G22" i="5"/>
  <c r="E31" i="5"/>
  <c r="E10" i="5"/>
  <c r="E28" i="5"/>
  <c r="E27" i="5"/>
  <c r="E3" i="5"/>
  <c r="K2" i="5" l="1"/>
  <c r="J2" i="5"/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K22" i="5" l="1"/>
  <c r="J22" i="5"/>
  <c r="K21" i="5"/>
  <c r="J21" i="5"/>
  <c r="K18" i="5"/>
  <c r="J18" i="5"/>
  <c r="K30" i="5"/>
  <c r="J30" i="5"/>
  <c r="K7" i="5"/>
  <c r="J7" i="5"/>
  <c r="K6" i="5"/>
  <c r="J6" i="5"/>
  <c r="K25" i="5"/>
  <c r="J25" i="5"/>
  <c r="K16" i="5"/>
  <c r="J16" i="5"/>
  <c r="K11" i="5"/>
  <c r="J11" i="5"/>
  <c r="K29" i="5"/>
  <c r="J29" i="5"/>
  <c r="K28" i="5"/>
  <c r="J28" i="5"/>
  <c r="K8" i="5"/>
  <c r="J8" i="5"/>
  <c r="K26" i="5"/>
  <c r="J26" i="5"/>
  <c r="K5" i="5"/>
  <c r="J5" i="5"/>
  <c r="K24" i="5"/>
  <c r="J24" i="5"/>
  <c r="K4" i="5"/>
  <c r="J4" i="5"/>
  <c r="K20" i="5"/>
  <c r="J20" i="5"/>
  <c r="K19" i="5"/>
  <c r="J19" i="5"/>
  <c r="K17" i="5"/>
  <c r="J17" i="5"/>
  <c r="K15" i="5"/>
  <c r="J15" i="5"/>
  <c r="K14" i="5"/>
  <c r="J14" i="5"/>
  <c r="K13" i="5"/>
  <c r="J13" i="5"/>
  <c r="K12" i="5"/>
  <c r="J12" i="5"/>
  <c r="K31" i="5"/>
  <c r="J31" i="5"/>
  <c r="K10" i="5"/>
  <c r="J10" i="5"/>
  <c r="K9" i="5"/>
  <c r="J9" i="5"/>
  <c r="K27" i="5"/>
  <c r="J27" i="5"/>
  <c r="K23" i="5"/>
  <c r="J23" i="5"/>
  <c r="K3" i="5"/>
  <c r="J3" i="5"/>
  <c r="H30" i="5"/>
  <c r="H2" i="5"/>
  <c r="H26" i="5"/>
  <c r="H14" i="5"/>
  <c r="H6" i="5"/>
  <c r="H4" i="5"/>
  <c r="H20" i="5"/>
  <c r="H19" i="5"/>
  <c r="H11" i="5"/>
  <c r="H25" i="5"/>
  <c r="H17" i="5"/>
  <c r="H16" i="5"/>
  <c r="H23" i="5"/>
  <c r="H13" i="5"/>
  <c r="H31" i="5"/>
  <c r="H15" i="5"/>
  <c r="H5" i="5"/>
  <c r="H3" i="5"/>
  <c r="H18" i="5"/>
  <c r="H27" i="5"/>
  <c r="H29" i="5"/>
  <c r="H28" i="5"/>
  <c r="H24" i="5"/>
  <c r="H22" i="5"/>
  <c r="H21" i="5"/>
  <c r="H12" i="5"/>
  <c r="H10" i="5"/>
  <c r="H9" i="5"/>
  <c r="H8" i="5"/>
  <c r="H7" i="5"/>
</calcChain>
</file>

<file path=xl/sharedStrings.xml><?xml version="1.0" encoding="utf-8"?>
<sst xmlns="http://schemas.openxmlformats.org/spreadsheetml/2006/main" count="426" uniqueCount="115">
  <si>
    <t>DATE</t>
  </si>
  <si>
    <t>s</t>
  </si>
  <si>
    <t>POSITION VALUE</t>
  </si>
  <si>
    <t>IDLEMINE AVG PRICE</t>
  </si>
  <si>
    <t>BOUGHT TOKENS</t>
  </si>
  <si>
    <t>SOLD TOKENS</t>
  </si>
  <si>
    <t>SOLD VOLUME</t>
  </si>
  <si>
    <t>TRANSACTION FEE</t>
  </si>
  <si>
    <t xml:space="preserve"> BOUGHT VOLUME</t>
  </si>
  <si>
    <t>POSTION TOKENS</t>
  </si>
  <si>
    <t>SOLANA AVG PRICE</t>
  </si>
  <si>
    <t>SOL IN</t>
  </si>
  <si>
    <t>SOL OUT</t>
  </si>
  <si>
    <t>NET SOL VALUE</t>
  </si>
  <si>
    <t>TOTAL VOLUME</t>
  </si>
  <si>
    <t>COINX AVG PRICE</t>
  </si>
  <si>
    <t>HOODX AVG PRICE</t>
  </si>
  <si>
    <t>NVADAX AVG PRICE</t>
  </si>
  <si>
    <t>GOLDX AVG PRICE</t>
  </si>
  <si>
    <t>TESLAX AVG PRICE</t>
  </si>
  <si>
    <t>PUMP AVG PRICE</t>
  </si>
  <si>
    <t>TRUMP AVG PRICE</t>
  </si>
  <si>
    <t>QQQX AVG PRICE</t>
  </si>
  <si>
    <t>MSTRX AVG PRICE</t>
  </si>
  <si>
    <t>RWA TOKEN COINX W1: 9N2gWYrNkbDCekkjA3NzgPuKrBz4dtHJFd4by6pdPhtM</t>
  </si>
  <si>
    <t>COINX IN</t>
  </si>
  <si>
    <t>COINX OUT</t>
  </si>
  <si>
    <t>NET TOKEN. VALUE</t>
  </si>
  <si>
    <t>COINX IN VALUE</t>
  </si>
  <si>
    <t>COINX OUT VALUE</t>
  </si>
  <si>
    <t>SOLONA AVG PRICE</t>
  </si>
  <si>
    <t>NET TOKEN VALUE</t>
  </si>
  <si>
    <t>SPYRIDLE AVG PRICE</t>
  </si>
  <si>
    <t>CRCLXIDLE AVG PRICE</t>
  </si>
  <si>
    <t xml:space="preserve">GOOGLXIDLE AVG PRICE </t>
  </si>
  <si>
    <t xml:space="preserve">PENGUIDLE AVG PRICE </t>
  </si>
  <si>
    <t>HOODX IN</t>
  </si>
  <si>
    <t>HOODX IN VALUE</t>
  </si>
  <si>
    <t>HOODX OUT</t>
  </si>
  <si>
    <t>HOODX OUT VALUE</t>
  </si>
  <si>
    <t>NVADA IN</t>
  </si>
  <si>
    <t>NVADA IN VALUE</t>
  </si>
  <si>
    <t>NVADA OUT</t>
  </si>
  <si>
    <t>NVADA OUT VALUE</t>
  </si>
  <si>
    <t>GOLDX IN</t>
  </si>
  <si>
    <t>GOLDX IN VALUE</t>
  </si>
  <si>
    <t>GOLDX OUT</t>
  </si>
  <si>
    <t>GOLDX OUT VALUE</t>
  </si>
  <si>
    <t>GOLDXX OUT VALUE</t>
  </si>
  <si>
    <t>TESLA IN</t>
  </si>
  <si>
    <t>TESLA IN VALUE</t>
  </si>
  <si>
    <t>TESLA OUT</t>
  </si>
  <si>
    <t>TESLA OUT VALUE</t>
  </si>
  <si>
    <t>PUMPX IN</t>
  </si>
  <si>
    <t>PUMPX IN VALUE</t>
  </si>
  <si>
    <t>PUMPX OUT</t>
  </si>
  <si>
    <t>PUMPX OUT VALUE</t>
  </si>
  <si>
    <t>TRUMP IN</t>
  </si>
  <si>
    <t>TRUMP IN VALUE</t>
  </si>
  <si>
    <t>TRUMP OUT</t>
  </si>
  <si>
    <t>TRUMP OUT VALUE</t>
  </si>
  <si>
    <t>QQQX IN</t>
  </si>
  <si>
    <t>QQQX IN VALUE</t>
  </si>
  <si>
    <t>QQQX OUT</t>
  </si>
  <si>
    <t>QQQX OUT VALUE</t>
  </si>
  <si>
    <t>MSTRX IN</t>
  </si>
  <si>
    <t>MSTRX IN VALUE</t>
  </si>
  <si>
    <t>MSTRX OUT</t>
  </si>
  <si>
    <t>MSTRX OUT VALUE</t>
  </si>
  <si>
    <t>SPYRIDLE IN</t>
  </si>
  <si>
    <t>SPYRIDLE IN VALUE</t>
  </si>
  <si>
    <t>SPYRIDLE OUT</t>
  </si>
  <si>
    <t>SPYRIDLE OUT VALUE</t>
  </si>
  <si>
    <t>CRCLIDLE IN VALUE</t>
  </si>
  <si>
    <t>CRCLXIDLE IN</t>
  </si>
  <si>
    <t>CRCLXIDLE OUT</t>
  </si>
  <si>
    <t>CRCLXIDLE OUT VALUE</t>
  </si>
  <si>
    <t>CRCLXIDLE IN VALUE</t>
  </si>
  <si>
    <t>GOOGLXIDLE IN</t>
  </si>
  <si>
    <t>GOOGLXIDLE IN VALUE</t>
  </si>
  <si>
    <t>GOOGLXIDLE OUT</t>
  </si>
  <si>
    <t>GOOGLXIDLE OUT VALUE</t>
  </si>
  <si>
    <t>GOOGLXIDE IN</t>
  </si>
  <si>
    <t>PENGUIDLE IN</t>
  </si>
  <si>
    <t>PENGUIDLE IN VALUE</t>
  </si>
  <si>
    <t>PENGUIDLE OUT</t>
  </si>
  <si>
    <t>PENGUIDLE OUT VALUE</t>
  </si>
  <si>
    <t>RWA TOKEN COINX W2: E58mYFPjZJTcofQ6SDvjFC6Gse7fP8HzMbYoHAcWzFVM</t>
  </si>
  <si>
    <t>RWA TOKEN HOODX W1: 5p7Ng6yMxXJpUV88zmkn7tscfHXGfwmvjnNyvfs7EeM1</t>
  </si>
  <si>
    <t>RWA TOKEN HOODX W2: HNtq33qLPmg1WuVTDVnKNpGBF4WpKHYudokySaokLbkT</t>
  </si>
  <si>
    <t>RWA TOKEN NVADA W1: F7hRiHqiKLnLy4Ac8MqL25j3BjY6zFsmgyexDs68CJLd</t>
  </si>
  <si>
    <t>RWA TOKEN NVADA W2: GiucUuNCVJjwUHoKou6vkub8sGwJ87Vn2TbgUCPKysih</t>
  </si>
  <si>
    <t>RWA TOKEN GOLDX W1: Em86CXDqv3zgJ5LSVk9R7qiTjnjs3SMnnpRoZ1Qf22Up</t>
  </si>
  <si>
    <t>RWA TOKEN GOLDX W2: BPRXLpfwu5t8msAimCTxS1YCio11SFRPkRC3QquATwR1</t>
  </si>
  <si>
    <t>RWA TOKEN TESLA W1: 5DcA9dXb8ui3q4WJX5erp7niZrEwZmvtp631RQ79hcHd</t>
  </si>
  <si>
    <t>RWA TOKEN TESLA W2: 9iBv3p4PoVq9z5sfew8X6MshESjbz4eKbTKmZwde9wem</t>
  </si>
  <si>
    <t>RWA TOKEN PUMP W1: 297uWXCxwsZ2chYqe1RnQrWJYwpqddhsepdkCqV61MJU</t>
  </si>
  <si>
    <t>RWA TOKEN PUMP W2: Cgj5KsSuMWUoKz4vrfshbdregoRmWvzALK7nzsCgbiQn</t>
  </si>
  <si>
    <t>RWA TOKEN TRUMPX W1: FY4yaWTEoNjwFf2ZT8f69HJYVV4EXVgcQZr1caQCKywx</t>
  </si>
  <si>
    <t>RWA TOKEN TRUMPX W2: BxezKiMMjoP9FuvHFWCzcsieEb9CZMDHDtoBcBPvSvXJ</t>
  </si>
  <si>
    <t>RWA TOKEN QQQX W1: 9mnYf2EHLK9o57gQGdTHK6nUG1iZ213GaeKHJMjZTEMK</t>
  </si>
  <si>
    <t>RWA TOKEN QQQX W2: CotcqVgrV1jkBbmp8ZwSVQFp6Jazt3KdhN77ryvBipts</t>
  </si>
  <si>
    <t>RWA TOKEN MSTRX W1: GE6QXG4b2RcKC2w1H8pqt38dYpABHJHKBNqkvrd92dHn</t>
  </si>
  <si>
    <t>RWA TOKEN MSTRX W2: 5ApumhYiTozrA5P17SUZt567tUtDy4rbwoujc2fkBWDk</t>
  </si>
  <si>
    <t xml:space="preserve">RWA TOKEN SPYRIDLE W1: Ey64tdGjU77HQhM85SmCWgA5AaPZuxFusWNnHD3kzhh8 </t>
  </si>
  <si>
    <t xml:space="preserve">RWA TOKEN SPYRIDLE W2: AeppnyrZ6t9EdzLoRzjWqdFRjQdDjVWFxCq5kAba2AzE </t>
  </si>
  <si>
    <t xml:space="preserve">RWA TOKEN CRCLXIDLE W1: 8HWaTRUfnWdzcVxzHihunrN52nivLe7x3QXNA9Lhw3HE </t>
  </si>
  <si>
    <t xml:space="preserve">RWA TOKEN CRCLXIDLE W2: E2rqXqTo68ALfDw9QoV5Qg55qgS9FeoZwpTS4AqT4yXL </t>
  </si>
  <si>
    <t xml:space="preserve">RWA TOKEN GOOGLXIDLE W1: Giu5jpTs23wodEgNwKeWRY689gBXc1ZwkpT2nf3qnLqt </t>
  </si>
  <si>
    <t xml:space="preserve">RWA TOKEN GOOGLXIDLE W2: 9nXk7f58tRXLuNwRjuY5pFjegTtuvmfr8EsNzWWkhJd8 </t>
  </si>
  <si>
    <t xml:space="preserve">RWA TOKEN PENGUIDLE W1: EsD4rJ6Dhhz7vSv98kKS49sUVMabcBhBRHYShhL7CPbb </t>
  </si>
  <si>
    <t xml:space="preserve">RWA TOKEN PENGUIDLE W2: AoYwXgDU9PDiKnFu1vJBma1wDERQYBfJzTRjZeiaVZcj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</si>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</sst>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1" applyBorder="1"/>
    <xf numFmtId="0" fontId="15" fillId="0" borderId="0" xfId="0" applyFont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15" fillId="0" borderId="1" xfId="1" applyFont="1" applyBorder="1"/>
    <xf numFmtId="0" fontId="15" fillId="0" borderId="0" xfId="5" applyFont="1" applyAlignment="1">
      <alignment horizontal="center" vertical="center"/>
    </xf>
    <xf numFmtId="0" fontId="15" fillId="0" borderId="0" xfId="5" applyFont="1" applyAlignment="1">
      <alignment horizontal="center"/>
    </xf>
    <xf numFmtId="0" fontId="15" fillId="0" borderId="1" xfId="1" applyFont="1" applyBorder="1" applyAlignment="1">
      <alignment horizontal="center"/>
    </xf>
    <xf numFmtId="0" fontId="15" fillId="0" borderId="0" xfId="9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10" applyFont="1" applyAlignment="1">
      <alignment horizontal="center"/>
    </xf>
    <xf numFmtId="0" fontId="15" fillId="0" borderId="0" xfId="11" applyFont="1" applyAlignment="1">
      <alignment horizontal="center"/>
    </xf>
    <xf numFmtId="0" fontId="15" fillId="0" borderId="0" xfId="12" applyFont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5" fillId="0" borderId="0" xfId="13" applyFont="1"/>
    <xf numFmtId="0" fontId="15" fillId="0" borderId="0" xfId="13" applyFont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4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Normal 5" xfId="4" xr:uid="{00000000-0005-0000-0000-000009000000}"/>
    <cellStyle name="Normal 6" xfId="5" xr:uid="{00000000-0005-0000-0000-00000A000000}"/>
    <cellStyle name="Normal 7" xfId="6" xr:uid="{00000000-0005-0000-0000-00000B000000}"/>
    <cellStyle name="Normal 8" xfId="7" xr:uid="{00000000-0005-0000-0000-00000C000000}"/>
    <cellStyle name="Normal 9" xfId="8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1"/>
  <sheetViews>
    <sheetView workbookViewId="0">
      <selection activeCell="D3" sqref="D3"/>
    </sheetView>
  </sheetViews>
  <sheetFormatPr baseColWidth="10" defaultColWidth="10.83203125" defaultRowHeight="16" x14ac:dyDescent="0.2"/>
  <cols>
    <col min="1" max="1" width="10.83203125" style="3" bestFit="1" customWidth="1"/>
    <col min="2" max="2" width="17.5" style="3" bestFit="1" customWidth="1"/>
    <col min="3" max="3" width="18.6640625" style="3" bestFit="1" customWidth="1"/>
    <col min="4" max="4" width="15.6640625" style="3" bestFit="1" customWidth="1"/>
    <col min="5" max="5" width="17" style="3" bestFit="1" customWidth="1"/>
    <col min="6" max="6" width="12.6640625" style="3" bestFit="1" customWidth="1"/>
    <col min="7" max="7" width="13.33203125" style="3" bestFit="1" customWidth="1"/>
    <col min="8" max="8" width="14.33203125" style="3" bestFit="1" customWidth="1"/>
    <col min="9" max="9" width="16.83203125" style="3" bestFit="1" customWidth="1"/>
    <col min="10" max="10" width="15.83203125" style="3" bestFit="1" customWidth="1"/>
    <col min="11" max="11" width="15.1640625" style="3" bestFit="1" customWidth="1"/>
    <col min="12" max="12" width="7.6640625" style="3" bestFit="1" customWidth="1"/>
    <col min="13" max="13" width="8.5" style="3" bestFit="1" customWidth="1"/>
    <col min="14" max="14" width="14.1640625" style="3" bestFit="1" customWidth="1"/>
    <col min="15" max="16384" width="10.83203125" style="3"/>
  </cols>
  <sheetData>
    <row r="1" spans="1:14" x14ac:dyDescent="0.2">
      <c r="A1" s="4" t="s">
        <v>0</v>
      </c>
      <c r="B1" s="4" t="s">
        <v>10</v>
      </c>
      <c r="C1" s="4" t="s">
        <v>3</v>
      </c>
      <c r="D1" s="4" t="s">
        <v>4</v>
      </c>
      <c r="E1" s="4" t="s">
        <v>8</v>
      </c>
      <c r="F1" s="4" t="s">
        <v>5</v>
      </c>
      <c r="G1" s="4" t="s">
        <v>6</v>
      </c>
      <c r="H1" s="4" t="s">
        <v>14</v>
      </c>
      <c r="I1" s="4" t="s">
        <v>7</v>
      </c>
      <c r="J1" s="4" t="s">
        <v>9</v>
      </c>
      <c r="K1" s="4" t="s">
        <v>2</v>
      </c>
      <c r="L1" s="4" t="s">
        <v>11</v>
      </c>
      <c r="M1" s="4" t="s">
        <v>12</v>
      </c>
      <c r="N1" s="4" t="s">
        <v>13</v>
      </c>
    </row>
    <row r="2" spans="1:14" x14ac:dyDescent="0.2">
      <c r="A2" s="5">
        <v>45962</v>
      </c>
      <c r="B2" s="6">
        <v>222.07599999999999</v>
      </c>
      <c r="C2" s="7">
        <v>7.6769999999999995E-6</v>
      </c>
      <c r="D2" s="6" t="e">
        <f>'MM volume and PL walletwise'!S3+'MM volume and PL walletwise'!#REF!</f>
        <v>#REF!</v>
      </c>
      <c r="E2" s="6" t="e">
        <f>'MM volume and PL walletwise'!T3+'MM volume and PL walletwise'!#REF!</f>
        <v>#REF!</v>
      </c>
      <c r="F2" s="6" t="e">
        <f>'MM volume and PL walletwise'!U3+'MM volume and PL walletwise'!#REF!</f>
        <v>#REF!</v>
      </c>
      <c r="G2" s="6" t="e">
        <f>'MM volume and PL walletwise'!V3+'MM volume and PL walletwise'!#REF!</f>
        <v>#REF!</v>
      </c>
      <c r="H2" s="6" t="e">
        <f>'MM volume and PL walletwise'!W3+'MM volume and PL walletwise'!#REF!</f>
        <v>#REF!</v>
      </c>
      <c r="I2" s="6" t="e">
        <f>'MM volume and PL walletwise'!X3+'MM volume and PL walletwise'!#REF!</f>
        <v>#REF!</v>
      </c>
      <c r="J2" s="6" t="e">
        <f>'MM volume and PL walletwise'!Y3+'MM volume and PL walletwise'!#REF!</f>
        <v>#REF!</v>
      </c>
      <c r="K2" s="6" t="e">
        <f>'MM volume and PL walletwise'!Z3+'MM volume and PL walletwise'!#REF!</f>
        <v>#REF!</v>
      </c>
      <c r="L2" s="6" t="e">
        <f>'MM volume and PL walletwise'!AA3+'MM volume and PL walletwise'!#REF!</f>
        <v>#REF!</v>
      </c>
      <c r="M2" s="6" t="e">
        <f>'MM volume and PL walletwise'!AC3+'MM volume and PL walletwise'!#REF!</f>
        <v>#REF!</v>
      </c>
      <c r="N2" s="6" t="e">
        <f>'MM volume and PL walletwise'!AE3+'MM volume and PL walletwise'!#REF!</f>
        <v>#REF!</v>
      </c>
    </row>
    <row r="3" spans="1:14" x14ac:dyDescent="0.2">
      <c r="A3" s="5">
        <v>45963</v>
      </c>
      <c r="B3" s="2">
        <v>234.69499999999999</v>
      </c>
      <c r="C3" s="7">
        <v>7.6769999999999995E-6</v>
      </c>
      <c r="D3" s="6" t="e">
        <f>'MM volume and PL walletwise'!S4+'MM volume and PL walletwise'!#REF!</f>
        <v>#REF!</v>
      </c>
      <c r="E3" s="6" t="e">
        <f>'MM volume and PL walletwise'!T4+'MM volume and PL walletwise'!#REF!</f>
        <v>#REF!</v>
      </c>
      <c r="F3" s="6" t="e">
        <f>'MM volume and PL walletwise'!U4+'MM volume and PL walletwise'!#REF!</f>
        <v>#REF!</v>
      </c>
      <c r="G3" s="6" t="e">
        <f>'MM volume and PL walletwise'!V4+'MM volume and PL walletwise'!#REF!</f>
        <v>#REF!</v>
      </c>
      <c r="H3" s="6" t="e">
        <f>'MM volume and PL walletwise'!W4+'MM volume and PL walletwise'!#REF!</f>
        <v>#REF!</v>
      </c>
      <c r="I3" s="6" t="e">
        <f>'MM volume and PL walletwise'!X4+'MM volume and PL walletwise'!#REF!</f>
        <v>#REF!</v>
      </c>
      <c r="J3" s="6" t="e">
        <f>'MM volume and PL walletwise'!Y4+'MM volume and PL walletwise'!#REF!</f>
        <v>#REF!</v>
      </c>
      <c r="K3" s="6" t="e">
        <f>'MM volume and PL walletwise'!Z4+'MM volume and PL walletwise'!#REF!</f>
        <v>#REF!</v>
      </c>
      <c r="L3" s="6" t="e">
        <f>'MM volume and PL walletwise'!AA4+'MM volume and PL walletwise'!#REF!</f>
        <v>#REF!</v>
      </c>
      <c r="M3" s="6" t="e">
        <f>'MM volume and PL walletwise'!AC4+'MM volume and PL walletwise'!#REF!</f>
        <v>#REF!</v>
      </c>
      <c r="N3" s="6" t="e">
        <f>'MM volume and PL walletwise'!AE4+'MM volume and PL walletwise'!#REF!</f>
        <v>#REF!</v>
      </c>
    </row>
    <row r="4" spans="1:14" x14ac:dyDescent="0.2">
      <c r="A4" s="5">
        <v>45964</v>
      </c>
      <c r="B4" s="6">
        <v>232.82</v>
      </c>
      <c r="C4" s="7">
        <v>7.6909999999999997E-6</v>
      </c>
      <c r="D4" s="6" t="e">
        <f>'MM volume and PL walletwise'!S5+'MM volume and PL walletwise'!#REF!</f>
        <v>#REF!</v>
      </c>
      <c r="E4" s="6" t="e">
        <f>'MM volume and PL walletwise'!T5+'MM volume and PL walletwise'!#REF!</f>
        <v>#REF!</v>
      </c>
      <c r="F4" s="6" t="e">
        <f>'MM volume and PL walletwise'!U5+'MM volume and PL walletwise'!#REF!</f>
        <v>#REF!</v>
      </c>
      <c r="G4" s="6" t="e">
        <f>'MM volume and PL walletwise'!V5+'MM volume and PL walletwise'!#REF!</f>
        <v>#REF!</v>
      </c>
      <c r="H4" s="6" t="e">
        <f>'MM volume and PL walletwise'!W5+'MM volume and PL walletwise'!#REF!</f>
        <v>#REF!</v>
      </c>
      <c r="I4" s="6" t="e">
        <f>'MM volume and PL walletwise'!X5+'MM volume and PL walletwise'!#REF!</f>
        <v>#REF!</v>
      </c>
      <c r="J4" s="6" t="e">
        <f>'MM volume and PL walletwise'!Y5+'MM volume and PL walletwise'!#REF!</f>
        <v>#REF!</v>
      </c>
      <c r="K4" s="6" t="e">
        <f>'MM volume and PL walletwise'!Z5+'MM volume and PL walletwise'!#REF!</f>
        <v>#REF!</v>
      </c>
      <c r="L4" s="6" t="e">
        <f>'MM volume and PL walletwise'!AA5+'MM volume and PL walletwise'!#REF!</f>
        <v>#REF!</v>
      </c>
      <c r="M4" s="6" t="e">
        <f>'MM volume and PL walletwise'!AC5+'MM volume and PL walletwise'!#REF!</f>
        <v>#REF!</v>
      </c>
      <c r="N4" s="6" t="e">
        <f>'MM volume and PL walletwise'!AE5+'MM volume and PL walletwise'!#REF!</f>
        <v>#REF!</v>
      </c>
    </row>
    <row r="5" spans="1:14" x14ac:dyDescent="0.2">
      <c r="A5" s="5">
        <v>45965</v>
      </c>
      <c r="B5" s="6">
        <v>227.92500000000001</v>
      </c>
      <c r="C5" s="7">
        <v>7.7349999999999996E-6</v>
      </c>
      <c r="D5" s="6" t="e">
        <f>'MM volume and PL walletwise'!S6+'MM volume and PL walletwise'!#REF!</f>
        <v>#REF!</v>
      </c>
      <c r="E5" s="6" t="e">
        <f>'MM volume and PL walletwise'!T6+'MM volume and PL walletwise'!#REF!</f>
        <v>#REF!</v>
      </c>
      <c r="F5" s="6" t="e">
        <f>'MM volume and PL walletwise'!U6+'MM volume and PL walletwise'!#REF!</f>
        <v>#REF!</v>
      </c>
      <c r="G5" s="6" t="e">
        <f>'MM volume and PL walletwise'!V6+'MM volume and PL walletwise'!#REF!</f>
        <v>#REF!</v>
      </c>
      <c r="H5" s="6" t="e">
        <f>'MM volume and PL walletwise'!W6+'MM volume and PL walletwise'!#REF!</f>
        <v>#REF!</v>
      </c>
      <c r="I5" s="6" t="e">
        <f>'MM volume and PL walletwise'!X6+'MM volume and PL walletwise'!#REF!</f>
        <v>#REF!</v>
      </c>
      <c r="J5" s="6" t="e">
        <f>'MM volume and PL walletwise'!Y6+'MM volume and PL walletwise'!#REF!</f>
        <v>#REF!</v>
      </c>
      <c r="K5" s="6" t="e">
        <f>'MM volume and PL walletwise'!Z6+'MM volume and PL walletwise'!#REF!</f>
        <v>#REF!</v>
      </c>
      <c r="L5" s="6" t="e">
        <f>'MM volume and PL walletwise'!AA6+'MM volume and PL walletwise'!#REF!</f>
        <v>#REF!</v>
      </c>
      <c r="M5" s="6" t="e">
        <f>'MM volume and PL walletwise'!AC6+'MM volume and PL walletwise'!#REF!</f>
        <v>#REF!</v>
      </c>
      <c r="N5" s="6" t="e">
        <f>'MM volume and PL walletwise'!AE6+'MM volume and PL walletwise'!#REF!</f>
        <v>#REF!</v>
      </c>
    </row>
    <row r="6" spans="1:14" x14ac:dyDescent="0.2">
      <c r="A6" s="5">
        <v>45966</v>
      </c>
      <c r="B6" s="6">
        <v>228.559</v>
      </c>
      <c r="C6" s="7">
        <v>7.5569999999999998E-6</v>
      </c>
      <c r="D6" s="6" t="e">
        <f>'MM volume and PL walletwise'!S7+'MM volume and PL walletwise'!#REF!</f>
        <v>#REF!</v>
      </c>
      <c r="E6" s="6" t="e">
        <f>'MM volume and PL walletwise'!T7+'MM volume and PL walletwise'!#REF!</f>
        <v>#REF!</v>
      </c>
      <c r="F6" s="6" t="e">
        <f>'MM volume and PL walletwise'!U7+'MM volume and PL walletwise'!#REF!</f>
        <v>#REF!</v>
      </c>
      <c r="G6" s="6" t="e">
        <f>'MM volume and PL walletwise'!V7+'MM volume and PL walletwise'!#REF!</f>
        <v>#REF!</v>
      </c>
      <c r="H6" s="6" t="e">
        <f>'MM volume and PL walletwise'!W7+'MM volume and PL walletwise'!#REF!</f>
        <v>#REF!</v>
      </c>
      <c r="I6" s="6" t="e">
        <f>'MM volume and PL walletwise'!X7+'MM volume and PL walletwise'!#REF!</f>
        <v>#REF!</v>
      </c>
      <c r="J6" s="6" t="e">
        <f>'MM volume and PL walletwise'!Y7+'MM volume and PL walletwise'!#REF!</f>
        <v>#REF!</v>
      </c>
      <c r="K6" s="6" t="e">
        <f>'MM volume and PL walletwise'!Z7+'MM volume and PL walletwise'!#REF!</f>
        <v>#REF!</v>
      </c>
      <c r="L6" s="6" t="e">
        <f>'MM volume and PL walletwise'!AA7+'MM volume and PL walletwise'!#REF!</f>
        <v>#REF!</v>
      </c>
      <c r="M6" s="6" t="e">
        <f>'MM volume and PL walletwise'!AC7+'MM volume and PL walletwise'!#REF!</f>
        <v>#REF!</v>
      </c>
      <c r="N6" s="6" t="e">
        <f>'MM volume and PL walletwise'!AE7+'MM volume and PL walletwise'!#REF!</f>
        <v>#REF!</v>
      </c>
    </row>
    <row r="7" spans="1:14" x14ac:dyDescent="0.2">
      <c r="A7" s="5">
        <v>45967</v>
      </c>
      <c r="B7" s="6">
        <v>230.60300000000001</v>
      </c>
      <c r="C7" s="7">
        <v>7.3470000000000001E-6</v>
      </c>
      <c r="D7" s="6" t="e">
        <f>'MM volume and PL walletwise'!S8+'MM volume and PL walletwise'!#REF!</f>
        <v>#REF!</v>
      </c>
      <c r="E7" s="6" t="e">
        <f>'MM volume and PL walletwise'!T8+'MM volume and PL walletwise'!#REF!</f>
        <v>#REF!</v>
      </c>
      <c r="F7" s="6" t="e">
        <f>'MM volume and PL walletwise'!U8+'MM volume and PL walletwise'!#REF!</f>
        <v>#REF!</v>
      </c>
      <c r="G7" s="6" t="e">
        <f>'MM volume and PL walletwise'!V8+'MM volume and PL walletwise'!#REF!</f>
        <v>#REF!</v>
      </c>
      <c r="H7" s="6" t="e">
        <f>'MM volume and PL walletwise'!W8+'MM volume and PL walletwise'!#REF!</f>
        <v>#REF!</v>
      </c>
      <c r="I7" s="6" t="e">
        <f>'MM volume and PL walletwise'!X8+'MM volume and PL walletwise'!#REF!</f>
        <v>#REF!</v>
      </c>
      <c r="J7" s="6" t="e">
        <f>'MM volume and PL walletwise'!Y8+'MM volume and PL walletwise'!#REF!</f>
        <v>#REF!</v>
      </c>
      <c r="K7" s="6" t="e">
        <f>'MM volume and PL walletwise'!Z8+'MM volume and PL walletwise'!#REF!</f>
        <v>#REF!</v>
      </c>
      <c r="L7" s="6" t="e">
        <f>'MM volume and PL walletwise'!AA8+'MM volume and PL walletwise'!#REF!</f>
        <v>#REF!</v>
      </c>
      <c r="M7" s="6" t="e">
        <f>'MM volume and PL walletwise'!AC8+'MM volume and PL walletwise'!#REF!</f>
        <v>#REF!</v>
      </c>
      <c r="N7" s="6" t="e">
        <f>'MM volume and PL walletwise'!AE8+'MM volume and PL walletwise'!#REF!</f>
        <v>#REF!</v>
      </c>
    </row>
    <row r="8" spans="1:14" x14ac:dyDescent="0.2">
      <c r="A8" s="5">
        <v>45968</v>
      </c>
      <c r="B8" s="6">
        <v>231.267</v>
      </c>
      <c r="C8" s="7">
        <v>7.413E-6</v>
      </c>
      <c r="D8" s="6" t="e">
        <f>'MM volume and PL walletwise'!S9+'MM volume and PL walletwise'!#REF!</f>
        <v>#REF!</v>
      </c>
      <c r="E8" s="6" t="e">
        <f>'MM volume and PL walletwise'!T9+'MM volume and PL walletwise'!#REF!</f>
        <v>#REF!</v>
      </c>
      <c r="F8" s="6" t="e">
        <f>'MM volume and PL walletwise'!U9+'MM volume and PL walletwise'!#REF!</f>
        <v>#REF!</v>
      </c>
      <c r="G8" s="6" t="e">
        <f>'MM volume and PL walletwise'!V9+'MM volume and PL walletwise'!#REF!</f>
        <v>#REF!</v>
      </c>
      <c r="H8" s="6" t="e">
        <f>'MM volume and PL walletwise'!W9+'MM volume and PL walletwise'!#REF!</f>
        <v>#REF!</v>
      </c>
      <c r="I8" s="6" t="e">
        <f>'MM volume and PL walletwise'!X9+'MM volume and PL walletwise'!#REF!</f>
        <v>#REF!</v>
      </c>
      <c r="J8" s="6" t="e">
        <f>'MM volume and PL walletwise'!Y9+'MM volume and PL walletwise'!#REF!</f>
        <v>#REF!</v>
      </c>
      <c r="K8" s="6" t="e">
        <f>'MM volume and PL walletwise'!Z9+'MM volume and PL walletwise'!#REF!</f>
        <v>#REF!</v>
      </c>
      <c r="L8" s="6" t="e">
        <f>'MM volume and PL walletwise'!AA9+'MM volume and PL walletwise'!#REF!</f>
        <v>#REF!</v>
      </c>
      <c r="M8" s="6" t="e">
        <f>'MM volume and PL walletwise'!AC9+'MM volume and PL walletwise'!#REF!</f>
        <v>#REF!</v>
      </c>
      <c r="N8" s="6" t="e">
        <f>'MM volume and PL walletwise'!AE9+'MM volume and PL walletwise'!#REF!</f>
        <v>#REF!</v>
      </c>
    </row>
    <row r="9" spans="1:14" x14ac:dyDescent="0.2">
      <c r="A9" s="5">
        <v>45969</v>
      </c>
      <c r="B9" s="6">
        <v>229.012</v>
      </c>
      <c r="C9" s="7">
        <v>7.401E-6</v>
      </c>
      <c r="D9" s="6" t="e">
        <f>'MM volume and PL walletwise'!S10+'MM volume and PL walletwise'!#REF!</f>
        <v>#REF!</v>
      </c>
      <c r="E9" s="6" t="e">
        <f>'MM volume and PL walletwise'!T10+'MM volume and PL walletwise'!#REF!</f>
        <v>#REF!</v>
      </c>
      <c r="F9" s="6" t="e">
        <f>'MM volume and PL walletwise'!U10+'MM volume and PL walletwise'!#REF!</f>
        <v>#REF!</v>
      </c>
      <c r="G9" s="6" t="e">
        <f>'MM volume and PL walletwise'!V10+'MM volume and PL walletwise'!#REF!</f>
        <v>#REF!</v>
      </c>
      <c r="H9" s="6" t="e">
        <f>'MM volume and PL walletwise'!W10+'MM volume and PL walletwise'!#REF!</f>
        <v>#REF!</v>
      </c>
      <c r="I9" s="6" t="e">
        <f>'MM volume and PL walletwise'!X10+'MM volume and PL walletwise'!#REF!</f>
        <v>#REF!</v>
      </c>
      <c r="J9" s="6" t="e">
        <f>'MM volume and PL walletwise'!Y10+'MM volume and PL walletwise'!#REF!</f>
        <v>#REF!</v>
      </c>
      <c r="K9" s="6" t="e">
        <f>'MM volume and PL walletwise'!Z10+'MM volume and PL walletwise'!#REF!</f>
        <v>#REF!</v>
      </c>
      <c r="L9" s="6" t="e">
        <f>'MM volume and PL walletwise'!AA10+'MM volume and PL walletwise'!#REF!</f>
        <v>#REF!</v>
      </c>
      <c r="M9" s="6" t="e">
        <f>'MM volume and PL walletwise'!AC10+'MM volume and PL walletwise'!#REF!</f>
        <v>#REF!</v>
      </c>
      <c r="N9" s="6" t="e">
        <f>'MM volume and PL walletwise'!AE10+'MM volume and PL walletwise'!#REF!</f>
        <v>#REF!</v>
      </c>
    </row>
    <row r="10" spans="1:14" x14ac:dyDescent="0.2">
      <c r="A10" s="5">
        <v>45970</v>
      </c>
      <c r="B10" s="6">
        <v>220.94900000000001</v>
      </c>
      <c r="C10" s="7">
        <v>7.3919999999999997E-6</v>
      </c>
      <c r="D10" s="6" t="e">
        <f>'MM volume and PL walletwise'!S11+'MM volume and PL walletwise'!#REF!</f>
        <v>#REF!</v>
      </c>
      <c r="E10" s="6" t="e">
        <f>'MM volume and PL walletwise'!T11+'MM volume and PL walletwise'!#REF!</f>
        <v>#REF!</v>
      </c>
      <c r="F10" s="6" t="e">
        <f>'MM volume and PL walletwise'!U11+'MM volume and PL walletwise'!#REF!</f>
        <v>#REF!</v>
      </c>
      <c r="G10" s="6" t="e">
        <f>'MM volume and PL walletwise'!V11+'MM volume and PL walletwise'!#REF!</f>
        <v>#REF!</v>
      </c>
      <c r="H10" s="6" t="e">
        <f>'MM volume and PL walletwise'!W11+'MM volume and PL walletwise'!#REF!</f>
        <v>#REF!</v>
      </c>
      <c r="I10" s="6" t="e">
        <f>'MM volume and PL walletwise'!X11+'MM volume and PL walletwise'!#REF!</f>
        <v>#REF!</v>
      </c>
      <c r="J10" s="6" t="e">
        <f>'MM volume and PL walletwise'!Y11+'MM volume and PL walletwise'!#REF!</f>
        <v>#REF!</v>
      </c>
      <c r="K10" s="6" t="e">
        <f>'MM volume and PL walletwise'!Z11+'MM volume and PL walletwise'!#REF!</f>
        <v>#REF!</v>
      </c>
      <c r="L10" s="6" t="e">
        <f>'MM volume and PL walletwise'!AA11+'MM volume and PL walletwise'!#REF!</f>
        <v>#REF!</v>
      </c>
      <c r="M10" s="6" t="e">
        <f>'MM volume and PL walletwise'!AC11+'MM volume and PL walletwise'!#REF!</f>
        <v>#REF!</v>
      </c>
      <c r="N10" s="6" t="e">
        <f>'MM volume and PL walletwise'!AE11+'MM volume and PL walletwise'!#REF!</f>
        <v>#REF!</v>
      </c>
    </row>
    <row r="11" spans="1:14" x14ac:dyDescent="0.2">
      <c r="A11" s="5">
        <v>45971</v>
      </c>
      <c r="B11" s="6">
        <v>218.57599999999999</v>
      </c>
      <c r="C11" s="7">
        <v>7.4560000000000003E-6</v>
      </c>
      <c r="D11" s="6" t="e">
        <f>'MM volume and PL walletwise'!S12+'MM volume and PL walletwise'!#REF!</f>
        <v>#REF!</v>
      </c>
      <c r="E11" s="6" t="e">
        <f>'MM volume and PL walletwise'!T12+'MM volume and PL walletwise'!#REF!</f>
        <v>#REF!</v>
      </c>
      <c r="F11" s="6" t="e">
        <f>'MM volume and PL walletwise'!U12+'MM volume and PL walletwise'!#REF!</f>
        <v>#REF!</v>
      </c>
      <c r="G11" s="6" t="e">
        <f>'MM volume and PL walletwise'!V12+'MM volume and PL walletwise'!#REF!</f>
        <v>#REF!</v>
      </c>
      <c r="H11" s="6" t="e">
        <f>'MM volume and PL walletwise'!W12+'MM volume and PL walletwise'!#REF!</f>
        <v>#REF!</v>
      </c>
      <c r="I11" s="6" t="e">
        <f>'MM volume and PL walletwise'!X12+'MM volume and PL walletwise'!#REF!</f>
        <v>#REF!</v>
      </c>
      <c r="J11" s="6" t="e">
        <f>'MM volume and PL walletwise'!Y12+'MM volume and PL walletwise'!#REF!</f>
        <v>#REF!</v>
      </c>
      <c r="K11" s="6" t="e">
        <f>'MM volume and PL walletwise'!Z12+'MM volume and PL walletwise'!#REF!</f>
        <v>#REF!</v>
      </c>
      <c r="L11" s="6" t="e">
        <f>'MM volume and PL walletwise'!AA12+'MM volume and PL walletwise'!#REF!</f>
        <v>#REF!</v>
      </c>
      <c r="M11" s="6" t="e">
        <f>'MM volume and PL walletwise'!AC12+'MM volume and PL walletwise'!#REF!</f>
        <v>#REF!</v>
      </c>
      <c r="N11" s="6" t="e">
        <f>'MM volume and PL walletwise'!AE12+'MM volume and PL walletwise'!#REF!</f>
        <v>#REF!</v>
      </c>
    </row>
    <row r="12" spans="1:14" x14ac:dyDescent="0.2">
      <c r="A12" s="5">
        <v>45972</v>
      </c>
      <c r="B12" s="6">
        <v>183.42500000000001</v>
      </c>
      <c r="C12" s="7">
        <v>7.5170000000000002E-6</v>
      </c>
      <c r="D12" s="6" t="e">
        <f>'MM volume and PL walletwise'!S13+'MM volume and PL walletwise'!#REF!</f>
        <v>#REF!</v>
      </c>
      <c r="E12" s="6" t="e">
        <f>'MM volume and PL walletwise'!T13+'MM volume and PL walletwise'!#REF!</f>
        <v>#REF!</v>
      </c>
      <c r="F12" s="6" t="e">
        <f>'MM volume and PL walletwise'!U13+'MM volume and PL walletwise'!#REF!</f>
        <v>#REF!</v>
      </c>
      <c r="G12" s="6" t="e">
        <f>'MM volume and PL walletwise'!V13+'MM volume and PL walletwise'!#REF!</f>
        <v>#REF!</v>
      </c>
      <c r="H12" s="6" t="e">
        <f>'MM volume and PL walletwise'!W13+'MM volume and PL walletwise'!#REF!</f>
        <v>#REF!</v>
      </c>
      <c r="I12" s="6" t="e">
        <f>'MM volume and PL walletwise'!X13+'MM volume and PL walletwise'!#REF!</f>
        <v>#REF!</v>
      </c>
      <c r="J12" s="6" t="e">
        <f>'MM volume and PL walletwise'!Y13+'MM volume and PL walletwise'!#REF!</f>
        <v>#REF!</v>
      </c>
      <c r="K12" s="6" t="e">
        <f>'MM volume and PL walletwise'!Z13+'MM volume and PL walletwise'!#REF!</f>
        <v>#REF!</v>
      </c>
      <c r="L12" s="6" t="e">
        <f>'MM volume and PL walletwise'!AA13+'MM volume and PL walletwise'!#REF!</f>
        <v>#REF!</v>
      </c>
      <c r="M12" s="6" t="e">
        <f>'MM volume and PL walletwise'!AC13+'MM volume and PL walletwise'!#REF!</f>
        <v>#REF!</v>
      </c>
      <c r="N12" s="6" t="e">
        <f>'MM volume and PL walletwise'!AE13+'MM volume and PL walletwise'!#REF!</f>
        <v>#REF!</v>
      </c>
    </row>
    <row r="13" spans="1:14" x14ac:dyDescent="0.2">
      <c r="A13" s="5">
        <v>45973</v>
      </c>
      <c r="B13" s="8">
        <v>197.244</v>
      </c>
      <c r="C13" s="9">
        <v>7.5689999999999999E-6</v>
      </c>
      <c r="D13" s="6" t="e">
        <f>'MM volume and PL walletwise'!S14+'MM volume and PL walletwise'!#REF!</f>
        <v>#REF!</v>
      </c>
      <c r="E13" s="6" t="e">
        <f>'MM volume and PL walletwise'!T14+'MM volume and PL walletwise'!#REF!</f>
        <v>#REF!</v>
      </c>
      <c r="F13" s="6" t="e">
        <f>'MM volume and PL walletwise'!U14+'MM volume and PL walletwise'!#REF!</f>
        <v>#REF!</v>
      </c>
      <c r="G13" s="6" t="e">
        <f>'MM volume and PL walletwise'!V14+'MM volume and PL walletwise'!#REF!</f>
        <v>#REF!</v>
      </c>
      <c r="H13" s="6" t="e">
        <f>'MM volume and PL walletwise'!W14+'MM volume and PL walletwise'!#REF!</f>
        <v>#REF!</v>
      </c>
      <c r="I13" s="6" t="e">
        <f>'MM volume and PL walletwise'!X14+'MM volume and PL walletwise'!#REF!</f>
        <v>#REF!</v>
      </c>
      <c r="J13" s="6" t="e">
        <f>'MM volume and PL walletwise'!Y14+'MM volume and PL walletwise'!#REF!</f>
        <v>#REF!</v>
      </c>
      <c r="K13" s="6" t="e">
        <f>'MM volume and PL walletwise'!Z14+'MM volume and PL walletwise'!#REF!</f>
        <v>#REF!</v>
      </c>
      <c r="L13" s="6" t="e">
        <f>'MM volume and PL walletwise'!AA14+'MM volume and PL walletwise'!#REF!</f>
        <v>#REF!</v>
      </c>
      <c r="M13" s="6" t="e">
        <f>'MM volume and PL walletwise'!AC14+'MM volume and PL walletwise'!#REF!</f>
        <v>#REF!</v>
      </c>
      <c r="N13" s="6" t="e">
        <f>'MM volume and PL walletwise'!AE14+'MM volume and PL walletwise'!#REF!</f>
        <v>#REF!</v>
      </c>
    </row>
    <row r="14" spans="1:14" x14ac:dyDescent="0.2">
      <c r="A14" s="5">
        <v>45974</v>
      </c>
      <c r="B14" s="6">
        <v>208.69200000000001</v>
      </c>
      <c r="C14" s="7">
        <v>7.6420000000000007E-6</v>
      </c>
      <c r="D14" s="6" t="e">
        <f>'MM volume and PL walletwise'!S15+'MM volume and PL walletwise'!#REF!</f>
        <v>#REF!</v>
      </c>
      <c r="E14" s="6" t="e">
        <f>'MM volume and PL walletwise'!T15+'MM volume and PL walletwise'!#REF!</f>
        <v>#REF!</v>
      </c>
      <c r="F14" s="6" t="e">
        <f>'MM volume and PL walletwise'!U15+'MM volume and PL walletwise'!#REF!</f>
        <v>#REF!</v>
      </c>
      <c r="G14" s="6" t="e">
        <f>'MM volume and PL walletwise'!V15+'MM volume and PL walletwise'!#REF!</f>
        <v>#REF!</v>
      </c>
      <c r="H14" s="6" t="e">
        <f>'MM volume and PL walletwise'!W15+'MM volume and PL walletwise'!#REF!</f>
        <v>#REF!</v>
      </c>
      <c r="I14" s="6" t="e">
        <f>'MM volume and PL walletwise'!X15+'MM volume and PL walletwise'!#REF!</f>
        <v>#REF!</v>
      </c>
      <c r="J14" s="6" t="e">
        <f>'MM volume and PL walletwise'!Y15+'MM volume and PL walletwise'!#REF!</f>
        <v>#REF!</v>
      </c>
      <c r="K14" s="6" t="e">
        <f>'MM volume and PL walletwise'!Z15+'MM volume and PL walletwise'!#REF!</f>
        <v>#REF!</v>
      </c>
      <c r="L14" s="6" t="e">
        <f>'MM volume and PL walletwise'!AA15+'MM volume and PL walletwise'!#REF!</f>
        <v>#REF!</v>
      </c>
      <c r="M14" s="6" t="e">
        <f>'MM volume and PL walletwise'!AC15+'MM volume and PL walletwise'!#REF!</f>
        <v>#REF!</v>
      </c>
      <c r="N14" s="6" t="e">
        <f>'MM volume and PL walletwise'!AE15+'MM volume and PL walletwise'!#REF!</f>
        <v>#REF!</v>
      </c>
    </row>
    <row r="15" spans="1:14" x14ac:dyDescent="0.2">
      <c r="A15" s="5">
        <v>45975</v>
      </c>
      <c r="B15" s="6">
        <v>202.81899999999999</v>
      </c>
      <c r="C15" s="7">
        <v>7.6909999999999997E-6</v>
      </c>
      <c r="D15" s="6" t="e">
        <f>'MM volume and PL walletwise'!S16+'MM volume and PL walletwise'!#REF!</f>
        <v>#REF!</v>
      </c>
      <c r="E15" s="6" t="e">
        <f>'MM volume and PL walletwise'!T16+'MM volume and PL walletwise'!#REF!</f>
        <v>#REF!</v>
      </c>
      <c r="F15" s="6" t="e">
        <f>'MM volume and PL walletwise'!U16+'MM volume and PL walletwise'!#REF!</f>
        <v>#REF!</v>
      </c>
      <c r="G15" s="6" t="e">
        <f>'MM volume and PL walletwise'!V16+'MM volume and PL walletwise'!#REF!</f>
        <v>#REF!</v>
      </c>
      <c r="H15" s="6" t="e">
        <f>'MM volume and PL walletwise'!W16+'MM volume and PL walletwise'!#REF!</f>
        <v>#REF!</v>
      </c>
      <c r="I15" s="6" t="e">
        <f>'MM volume and PL walletwise'!X16+'MM volume and PL walletwise'!#REF!</f>
        <v>#REF!</v>
      </c>
      <c r="J15" s="6" t="e">
        <f>'MM volume and PL walletwise'!Y16+'MM volume and PL walletwise'!#REF!</f>
        <v>#REF!</v>
      </c>
      <c r="K15" s="6" t="e">
        <f>'MM volume and PL walletwise'!Z16+'MM volume and PL walletwise'!#REF!</f>
        <v>#REF!</v>
      </c>
      <c r="L15" s="6" t="e">
        <f>'MM volume and PL walletwise'!AA16+'MM volume and PL walletwise'!#REF!</f>
        <v>#REF!</v>
      </c>
      <c r="M15" s="6" t="e">
        <f>'MM volume and PL walletwise'!AC16+'MM volume and PL walletwise'!#REF!</f>
        <v>#REF!</v>
      </c>
      <c r="N15" s="6" t="e">
        <f>'MM volume and PL walletwise'!AE16+'MM volume and PL walletwise'!#REF!</f>
        <v>#REF!</v>
      </c>
    </row>
    <row r="16" spans="1:14" x14ac:dyDescent="0.2">
      <c r="A16" s="5">
        <v>45976</v>
      </c>
      <c r="B16" s="6">
        <v>206.601</v>
      </c>
      <c r="C16" s="7">
        <v>7.7579999999999992E-6</v>
      </c>
      <c r="D16" s="6" t="e">
        <f>'MM volume and PL walletwise'!S17+'MM volume and PL walletwise'!#REF!</f>
        <v>#REF!</v>
      </c>
      <c r="E16" s="6" t="e">
        <f>'MM volume and PL walletwise'!T17+'MM volume and PL walletwise'!#REF!</f>
        <v>#REF!</v>
      </c>
      <c r="F16" s="6" t="e">
        <f>'MM volume and PL walletwise'!U17+'MM volume and PL walletwise'!#REF!</f>
        <v>#REF!</v>
      </c>
      <c r="G16" s="6" t="e">
        <f>'MM volume and PL walletwise'!V17+'MM volume and PL walletwise'!#REF!</f>
        <v>#REF!</v>
      </c>
      <c r="H16" s="6" t="e">
        <f>'MM volume and PL walletwise'!W17+'MM volume and PL walletwise'!#REF!</f>
        <v>#REF!</v>
      </c>
      <c r="I16" s="6" t="e">
        <f>'MM volume and PL walletwise'!X17+'MM volume and PL walletwise'!#REF!</f>
        <v>#REF!</v>
      </c>
      <c r="J16" s="6" t="e">
        <f>'MM volume and PL walletwise'!Y17+'MM volume and PL walletwise'!#REF!</f>
        <v>#REF!</v>
      </c>
      <c r="K16" s="6" t="e">
        <f>'MM volume and PL walletwise'!Z17+'MM volume and PL walletwise'!#REF!</f>
        <v>#REF!</v>
      </c>
      <c r="L16" s="6" t="e">
        <f>'MM volume and PL walletwise'!AA17+'MM volume and PL walletwise'!#REF!</f>
        <v>#REF!</v>
      </c>
      <c r="M16" s="6" t="e">
        <f>'MM volume and PL walletwise'!AC17+'MM volume and PL walletwise'!#REF!</f>
        <v>#REF!</v>
      </c>
      <c r="N16" s="6" t="e">
        <f>'MM volume and PL walletwise'!AE17+'MM volume and PL walletwise'!#REF!</f>
        <v>#REF!</v>
      </c>
    </row>
    <row r="17" spans="1:14" x14ac:dyDescent="0.2">
      <c r="A17" s="5">
        <v>45977</v>
      </c>
      <c r="B17" s="6">
        <v>193.70699999999999</v>
      </c>
      <c r="C17" s="7">
        <v>7.8390000000000007E-6</v>
      </c>
      <c r="D17" s="6" t="e">
        <f>'MM volume and PL walletwise'!S18+'MM volume and PL walletwise'!#REF!</f>
        <v>#REF!</v>
      </c>
      <c r="E17" s="6" t="e">
        <f>'MM volume and PL walletwise'!T18+'MM volume and PL walletwise'!#REF!</f>
        <v>#REF!</v>
      </c>
      <c r="F17" s="6" t="e">
        <f>'MM volume and PL walletwise'!U18+'MM volume and PL walletwise'!#REF!</f>
        <v>#REF!</v>
      </c>
      <c r="G17" s="6" t="e">
        <f>'MM volume and PL walletwise'!V18+'MM volume and PL walletwise'!#REF!</f>
        <v>#REF!</v>
      </c>
      <c r="H17" s="6" t="e">
        <f>'MM volume and PL walletwise'!W18+'MM volume and PL walletwise'!#REF!</f>
        <v>#REF!</v>
      </c>
      <c r="I17" s="6" t="e">
        <f>'MM volume and PL walletwise'!X18+'MM volume and PL walletwise'!#REF!</f>
        <v>#REF!</v>
      </c>
      <c r="J17" s="6" t="e">
        <f>'MM volume and PL walletwise'!Y18+'MM volume and PL walletwise'!#REF!</f>
        <v>#REF!</v>
      </c>
      <c r="K17" s="6" t="e">
        <f>'MM volume and PL walletwise'!Z18+'MM volume and PL walletwise'!#REF!</f>
        <v>#REF!</v>
      </c>
      <c r="L17" s="6" t="e">
        <f>'MM volume and PL walletwise'!AA18+'MM volume and PL walletwise'!#REF!</f>
        <v>#REF!</v>
      </c>
      <c r="M17" s="6" t="e">
        <f>'MM volume and PL walletwise'!AC18+'MM volume and PL walletwise'!#REF!</f>
        <v>#REF!</v>
      </c>
      <c r="N17" s="6" t="e">
        <f>'MM volume and PL walletwise'!AE18+'MM volume and PL walletwise'!#REF!</f>
        <v>#REF!</v>
      </c>
    </row>
    <row r="18" spans="1:14" x14ac:dyDescent="0.2">
      <c r="A18" s="5">
        <v>45978</v>
      </c>
      <c r="B18" s="6">
        <v>187.11799999999999</v>
      </c>
      <c r="C18" s="7">
        <v>7.8869999999999992E-6</v>
      </c>
      <c r="D18" s="6" t="e">
        <f>'MM volume and PL walletwise'!S19+'MM volume and PL walletwise'!#REF!</f>
        <v>#REF!</v>
      </c>
      <c r="E18" s="6" t="e">
        <f>'MM volume and PL walletwise'!T19+'MM volume and PL walletwise'!#REF!</f>
        <v>#REF!</v>
      </c>
      <c r="F18" s="6" t="e">
        <f>'MM volume and PL walletwise'!U19+'MM volume and PL walletwise'!#REF!</f>
        <v>#REF!</v>
      </c>
      <c r="G18" s="6" t="e">
        <f>'MM volume and PL walletwise'!V19+'MM volume and PL walletwise'!#REF!</f>
        <v>#REF!</v>
      </c>
      <c r="H18" s="6" t="e">
        <f>'MM volume and PL walletwise'!W19+'MM volume and PL walletwise'!#REF!</f>
        <v>#REF!</v>
      </c>
      <c r="I18" s="6" t="e">
        <f>'MM volume and PL walletwise'!X19+'MM volume and PL walletwise'!#REF!</f>
        <v>#REF!</v>
      </c>
      <c r="J18" s="6" t="e">
        <f>'MM volume and PL walletwise'!Y19+'MM volume and PL walletwise'!#REF!</f>
        <v>#REF!</v>
      </c>
      <c r="K18" s="6" t="e">
        <f>'MM volume and PL walletwise'!Z19+'MM volume and PL walletwise'!#REF!</f>
        <v>#REF!</v>
      </c>
      <c r="L18" s="6" t="e">
        <f>'MM volume and PL walletwise'!AA19+'MM volume and PL walletwise'!#REF!</f>
        <v>#REF!</v>
      </c>
      <c r="M18" s="6" t="e">
        <f>'MM volume and PL walletwise'!AC19+'MM volume and PL walletwise'!#REF!</f>
        <v>#REF!</v>
      </c>
      <c r="N18" s="6" t="e">
        <f>'MM volume and PL walletwise'!AE19+'MM volume and PL walletwise'!#REF!</f>
        <v>#REF!</v>
      </c>
    </row>
    <row r="19" spans="1:14" x14ac:dyDescent="0.2">
      <c r="A19" s="5">
        <v>45979</v>
      </c>
      <c r="B19" s="6">
        <v>187.60300000000001</v>
      </c>
      <c r="C19" s="7">
        <v>7.7759999999999997E-6</v>
      </c>
      <c r="D19" s="6" t="e">
        <f>'MM volume and PL walletwise'!S20+'MM volume and PL walletwise'!#REF!</f>
        <v>#REF!</v>
      </c>
      <c r="E19" s="6" t="e">
        <f>'MM volume and PL walletwise'!T20+'MM volume and PL walletwise'!#REF!</f>
        <v>#REF!</v>
      </c>
      <c r="F19" s="6" t="e">
        <f>'MM volume and PL walletwise'!U20+'MM volume and PL walletwise'!#REF!</f>
        <v>#REF!</v>
      </c>
      <c r="G19" s="6" t="e">
        <f>'MM volume and PL walletwise'!V20+'MM volume and PL walletwise'!#REF!</f>
        <v>#REF!</v>
      </c>
      <c r="H19" s="6" t="e">
        <f>'MM volume and PL walletwise'!W20+'MM volume and PL walletwise'!#REF!</f>
        <v>#REF!</v>
      </c>
      <c r="I19" s="6" t="e">
        <f>'MM volume and PL walletwise'!X20+'MM volume and PL walletwise'!#REF!</f>
        <v>#REF!</v>
      </c>
      <c r="J19" s="6" t="e">
        <f>'MM volume and PL walletwise'!Y20+'MM volume and PL walletwise'!#REF!</f>
        <v>#REF!</v>
      </c>
      <c r="K19" s="6" t="e">
        <f>'MM volume and PL walletwise'!Z20+'MM volume and PL walletwise'!#REF!</f>
        <v>#REF!</v>
      </c>
      <c r="L19" s="6" t="e">
        <f>'MM volume and PL walletwise'!AA20+'MM volume and PL walletwise'!#REF!</f>
        <v>#REF!</v>
      </c>
      <c r="M19" s="6" t="e">
        <f>'MM volume and PL walletwise'!AC20+'MM volume and PL walletwise'!#REF!</f>
        <v>#REF!</v>
      </c>
      <c r="N19" s="6" t="e">
        <f>'MM volume and PL walletwise'!AE20+'MM volume and PL walletwise'!#REF!</f>
        <v>#REF!</v>
      </c>
    </row>
    <row r="20" spans="1:14" x14ac:dyDescent="0.2">
      <c r="A20" s="5">
        <v>45980</v>
      </c>
      <c r="B20" s="6">
        <v>187.92400000000001</v>
      </c>
      <c r="C20" s="7">
        <v>7.926E-6</v>
      </c>
      <c r="D20" s="6" t="e">
        <f>'MM volume and PL walletwise'!S21+'MM volume and PL walletwise'!#REF!</f>
        <v>#REF!</v>
      </c>
      <c r="E20" s="6" t="e">
        <f>'MM volume and PL walletwise'!T21+'MM volume and PL walletwise'!#REF!</f>
        <v>#REF!</v>
      </c>
      <c r="F20" s="6" t="e">
        <f>'MM volume and PL walletwise'!U21+'MM volume and PL walletwise'!#REF!</f>
        <v>#REF!</v>
      </c>
      <c r="G20" s="6" t="e">
        <f>'MM volume and PL walletwise'!V21+'MM volume and PL walletwise'!#REF!</f>
        <v>#REF!</v>
      </c>
      <c r="H20" s="6" t="e">
        <f>'MM volume and PL walletwise'!W21+'MM volume and PL walletwise'!#REF!</f>
        <v>#REF!</v>
      </c>
      <c r="I20" s="6" t="e">
        <f>'MM volume and PL walletwise'!X21+'MM volume and PL walletwise'!#REF!</f>
        <v>#REF!</v>
      </c>
      <c r="J20" s="6" t="e">
        <f>'MM volume and PL walletwise'!Y21+'MM volume and PL walletwise'!#REF!</f>
        <v>#REF!</v>
      </c>
      <c r="K20" s="6" t="e">
        <f>'MM volume and PL walletwise'!Z21+'MM volume and PL walletwise'!#REF!</f>
        <v>#REF!</v>
      </c>
      <c r="L20" s="6" t="e">
        <f>'MM volume and PL walletwise'!AA21+'MM volume and PL walletwise'!#REF!</f>
        <v>#REF!</v>
      </c>
      <c r="M20" s="6" t="e">
        <f>'MM volume and PL walletwise'!AC21+'MM volume and PL walletwise'!#REF!</f>
        <v>#REF!</v>
      </c>
      <c r="N20" s="6" t="e">
        <f>'MM volume and PL walletwise'!AE21+'MM volume and PL walletwise'!#REF!</f>
        <v>#REF!</v>
      </c>
    </row>
    <row r="21" spans="1:14" x14ac:dyDescent="0.2">
      <c r="A21" s="5">
        <v>45981</v>
      </c>
      <c r="B21" s="6">
        <v>189.71299999999999</v>
      </c>
      <c r="C21" s="7">
        <v>7.9359999999999999E-6</v>
      </c>
      <c r="D21" s="6" t="e">
        <f>'MM volume and PL walletwise'!S22+'MM volume and PL walletwise'!#REF!</f>
        <v>#REF!</v>
      </c>
      <c r="E21" s="6" t="e">
        <f>'MM volume and PL walletwise'!T22+'MM volume and PL walletwise'!#REF!</f>
        <v>#REF!</v>
      </c>
      <c r="F21" s="6" t="e">
        <f>'MM volume and PL walletwise'!U22+'MM volume and PL walletwise'!#REF!</f>
        <v>#REF!</v>
      </c>
      <c r="G21" s="6" t="e">
        <f>'MM volume and PL walletwise'!V22+'MM volume and PL walletwise'!#REF!</f>
        <v>#REF!</v>
      </c>
      <c r="H21" s="6" t="e">
        <f>'MM volume and PL walletwise'!W22+'MM volume and PL walletwise'!#REF!</f>
        <v>#REF!</v>
      </c>
      <c r="I21" s="6" t="e">
        <f>'MM volume and PL walletwise'!X22+'MM volume and PL walletwise'!#REF!</f>
        <v>#REF!</v>
      </c>
      <c r="J21" s="6" t="e">
        <f>'MM volume and PL walletwise'!Y22+'MM volume and PL walletwise'!#REF!</f>
        <v>#REF!</v>
      </c>
      <c r="K21" s="6" t="e">
        <f>'MM volume and PL walletwise'!Z22+'MM volume and PL walletwise'!#REF!</f>
        <v>#REF!</v>
      </c>
      <c r="L21" s="6" t="e">
        <f>'MM volume and PL walletwise'!AA22+'MM volume and PL walletwise'!#REF!</f>
        <v>#REF!</v>
      </c>
      <c r="M21" s="6" t="e">
        <f>'MM volume and PL walletwise'!AC22+'MM volume and PL walletwise'!#REF!</f>
        <v>#REF!</v>
      </c>
      <c r="N21" s="6" t="e">
        <f>'MM volume and PL walletwise'!AE22+'MM volume and PL walletwise'!#REF!</f>
        <v>#REF!</v>
      </c>
    </row>
    <row r="22" spans="1:14" x14ac:dyDescent="0.2">
      <c r="A22" s="5">
        <v>45982</v>
      </c>
      <c r="B22" s="6">
        <v>183.96199999999999</v>
      </c>
      <c r="C22" s="7">
        <v>7.9950000000000005E-6</v>
      </c>
      <c r="D22" s="6" t="e">
        <f>'MM volume and PL walletwise'!S23+'MM volume and PL walletwise'!#REF!</f>
        <v>#REF!</v>
      </c>
      <c r="E22" s="6" t="e">
        <f>'MM volume and PL walletwise'!T23+'MM volume and PL walletwise'!#REF!</f>
        <v>#REF!</v>
      </c>
      <c r="F22" s="6" t="e">
        <f>'MM volume and PL walletwise'!U23+'MM volume and PL walletwise'!#REF!</f>
        <v>#REF!</v>
      </c>
      <c r="G22" s="6" t="e">
        <f>'MM volume and PL walletwise'!V23+'MM volume and PL walletwise'!#REF!</f>
        <v>#REF!</v>
      </c>
      <c r="H22" s="6" t="e">
        <f>'MM volume and PL walletwise'!W23+'MM volume and PL walletwise'!#REF!</f>
        <v>#REF!</v>
      </c>
      <c r="I22" s="6" t="e">
        <f>'MM volume and PL walletwise'!X23+'MM volume and PL walletwise'!#REF!</f>
        <v>#REF!</v>
      </c>
      <c r="J22" s="6" t="e">
        <f>'MM volume and PL walletwise'!Y23+'MM volume and PL walletwise'!#REF!</f>
        <v>#REF!</v>
      </c>
      <c r="K22" s="6" t="e">
        <f>'MM volume and PL walletwise'!Z23+'MM volume and PL walletwise'!#REF!</f>
        <v>#REF!</v>
      </c>
      <c r="L22" s="6" t="e">
        <f>'MM volume and PL walletwise'!AA23+'MM volume and PL walletwise'!#REF!</f>
        <v>#REF!</v>
      </c>
      <c r="M22" s="6" t="e">
        <f>'MM volume and PL walletwise'!AC23+'MM volume and PL walletwise'!#REF!</f>
        <v>#REF!</v>
      </c>
      <c r="N22" s="6" t="e">
        <f>'MM volume and PL walletwise'!AE23+'MM volume and PL walletwise'!#REF!</f>
        <v>#REF!</v>
      </c>
    </row>
    <row r="23" spans="1:14" x14ac:dyDescent="0.2">
      <c r="A23" s="5">
        <v>45983</v>
      </c>
      <c r="B23" s="6">
        <v>186.13</v>
      </c>
      <c r="C23" s="7">
        <v>8.0560000000000005E-6</v>
      </c>
      <c r="D23" s="6" t="e">
        <f>'MM volume and PL walletwise'!S24+'MM volume and PL walletwise'!#REF!</f>
        <v>#REF!</v>
      </c>
      <c r="E23" s="6" t="e">
        <f>'MM volume and PL walletwise'!T24+'MM volume and PL walletwise'!#REF!</f>
        <v>#REF!</v>
      </c>
      <c r="F23" s="6" t="e">
        <f>'MM volume and PL walletwise'!U24+'MM volume and PL walletwise'!#REF!</f>
        <v>#REF!</v>
      </c>
      <c r="G23" s="6" t="e">
        <f>'MM volume and PL walletwise'!V24+'MM volume and PL walletwise'!#REF!</f>
        <v>#REF!</v>
      </c>
      <c r="H23" s="6" t="e">
        <f>'MM volume and PL walletwise'!W24+'MM volume and PL walletwise'!#REF!</f>
        <v>#REF!</v>
      </c>
      <c r="I23" s="6" t="e">
        <f>'MM volume and PL walletwise'!X24+'MM volume and PL walletwise'!#REF!</f>
        <v>#REF!</v>
      </c>
      <c r="J23" s="6" t="e">
        <f>'MM volume and PL walletwise'!Y24+'MM volume and PL walletwise'!#REF!</f>
        <v>#REF!</v>
      </c>
      <c r="K23" s="6" t="e">
        <f>'MM volume and PL walletwise'!Z24+'MM volume and PL walletwise'!#REF!</f>
        <v>#REF!</v>
      </c>
      <c r="L23" s="6" t="e">
        <f>'MM volume and PL walletwise'!AA24+'MM volume and PL walletwise'!#REF!</f>
        <v>#REF!</v>
      </c>
      <c r="M23" s="6" t="e">
        <f>'MM volume and PL walletwise'!AC24+'MM volume and PL walletwise'!#REF!</f>
        <v>#REF!</v>
      </c>
      <c r="N23" s="6" t="e">
        <f>'MM volume and PL walletwise'!AE24+'MM volume and PL walletwise'!#REF!</f>
        <v>#REF!</v>
      </c>
    </row>
    <row r="24" spans="1:14" x14ac:dyDescent="0.2">
      <c r="A24" s="5">
        <v>45984</v>
      </c>
      <c r="B24" s="6">
        <v>188.21</v>
      </c>
      <c r="C24" s="7">
        <v>8.1580000000000005E-6</v>
      </c>
      <c r="D24" s="6" t="e">
        <f>'MM volume and PL walletwise'!S25+'MM volume and PL walletwise'!#REF!</f>
        <v>#REF!</v>
      </c>
      <c r="E24" s="6" t="e">
        <f>'MM volume and PL walletwise'!T25+'MM volume and PL walletwise'!#REF!</f>
        <v>#REF!</v>
      </c>
      <c r="F24" s="6" t="e">
        <f>'MM volume and PL walletwise'!U25+'MM volume and PL walletwise'!#REF!</f>
        <v>#REF!</v>
      </c>
      <c r="G24" s="6" t="e">
        <f>'MM volume and PL walletwise'!V25+'MM volume and PL walletwise'!#REF!</f>
        <v>#REF!</v>
      </c>
      <c r="H24" s="6" t="e">
        <f>'MM volume and PL walletwise'!W25+'MM volume and PL walletwise'!#REF!</f>
        <v>#REF!</v>
      </c>
      <c r="I24" s="6" t="e">
        <f>'MM volume and PL walletwise'!X25+'MM volume and PL walletwise'!#REF!</f>
        <v>#REF!</v>
      </c>
      <c r="J24" s="6" t="e">
        <f>'MM volume and PL walletwise'!Y25+'MM volume and PL walletwise'!#REF!</f>
        <v>#REF!</v>
      </c>
      <c r="K24" s="6" t="e">
        <f>'MM volume and PL walletwise'!Z25+'MM volume and PL walletwise'!#REF!</f>
        <v>#REF!</v>
      </c>
      <c r="L24" s="6" t="e">
        <f>'MM volume and PL walletwise'!AA25+'MM volume and PL walletwise'!#REF!</f>
        <v>#REF!</v>
      </c>
      <c r="M24" s="6" t="e">
        <f>'MM volume and PL walletwise'!AC25+'MM volume and PL walletwise'!#REF!</f>
        <v>#REF!</v>
      </c>
      <c r="N24" s="6" t="e">
        <f>'MM volume and PL walletwise'!AE25+'MM volume and PL walletwise'!#REF!</f>
        <v>#REF!</v>
      </c>
    </row>
    <row r="25" spans="1:14" x14ac:dyDescent="0.2">
      <c r="A25" s="5">
        <v>45985</v>
      </c>
      <c r="B25" s="6">
        <v>193.60900000000001</v>
      </c>
      <c r="C25" s="7">
        <v>8.4759999999999998E-6</v>
      </c>
      <c r="D25" s="6" t="e">
        <f>'MM volume and PL walletwise'!S26+'MM volume and PL walletwise'!#REF!</f>
        <v>#REF!</v>
      </c>
      <c r="E25" s="6" t="e">
        <f>'MM volume and PL walletwise'!T26+'MM volume and PL walletwise'!#REF!</f>
        <v>#REF!</v>
      </c>
      <c r="F25" s="6" t="e">
        <f>'MM volume and PL walletwise'!U26+'MM volume and PL walletwise'!#REF!</f>
        <v>#REF!</v>
      </c>
      <c r="G25" s="6" t="e">
        <f>'MM volume and PL walletwise'!V26+'MM volume and PL walletwise'!#REF!</f>
        <v>#REF!</v>
      </c>
      <c r="H25" s="6" t="e">
        <f>'MM volume and PL walletwise'!W26+'MM volume and PL walletwise'!#REF!</f>
        <v>#REF!</v>
      </c>
      <c r="I25" s="6" t="e">
        <f>'MM volume and PL walletwise'!X26+'MM volume and PL walletwise'!#REF!</f>
        <v>#REF!</v>
      </c>
      <c r="J25" s="6" t="e">
        <f>'MM volume and PL walletwise'!Y26+'MM volume and PL walletwise'!#REF!</f>
        <v>#REF!</v>
      </c>
      <c r="K25" s="6" t="e">
        <f>'MM volume and PL walletwise'!Z26+'MM volume and PL walletwise'!#REF!</f>
        <v>#REF!</v>
      </c>
      <c r="L25" s="6" t="e">
        <f>'MM volume and PL walletwise'!AA26+'MM volume and PL walletwise'!#REF!</f>
        <v>#REF!</v>
      </c>
      <c r="M25" s="6" t="e">
        <f>'MM volume and PL walletwise'!AC26+'MM volume and PL walletwise'!#REF!</f>
        <v>#REF!</v>
      </c>
      <c r="N25" s="6" t="e">
        <f>'MM volume and PL walletwise'!AE26+'MM volume and PL walletwise'!#REF!</f>
        <v>#REF!</v>
      </c>
    </row>
    <row r="26" spans="1:14" x14ac:dyDescent="0.2">
      <c r="A26" s="5">
        <v>45986</v>
      </c>
      <c r="B26" s="6">
        <v>193.541</v>
      </c>
      <c r="C26" s="7">
        <v>8.7669999999999992E-6</v>
      </c>
      <c r="D26" s="6" t="e">
        <f>'MM volume and PL walletwise'!S27+'MM volume and PL walletwise'!#REF!</f>
        <v>#REF!</v>
      </c>
      <c r="E26" s="6" t="e">
        <f>'MM volume and PL walletwise'!T27+'MM volume and PL walletwise'!#REF!</f>
        <v>#REF!</v>
      </c>
      <c r="F26" s="6" t="e">
        <f>'MM volume and PL walletwise'!U27+'MM volume and PL walletwise'!#REF!</f>
        <v>#REF!</v>
      </c>
      <c r="G26" s="6" t="e">
        <f>'MM volume and PL walletwise'!V27+'MM volume and PL walletwise'!#REF!</f>
        <v>#REF!</v>
      </c>
      <c r="H26" s="6" t="e">
        <f>'MM volume and PL walletwise'!W27+'MM volume and PL walletwise'!#REF!</f>
        <v>#REF!</v>
      </c>
      <c r="I26" s="6" t="e">
        <f>'MM volume and PL walletwise'!X27+'MM volume and PL walletwise'!#REF!</f>
        <v>#REF!</v>
      </c>
      <c r="J26" s="6" t="e">
        <f>'MM volume and PL walletwise'!Y27+'MM volume and PL walletwise'!#REF!</f>
        <v>#REF!</v>
      </c>
      <c r="K26" s="6" t="e">
        <f>'MM volume and PL walletwise'!Z27+'MM volume and PL walletwise'!#REF!</f>
        <v>#REF!</v>
      </c>
      <c r="L26" s="6" t="e">
        <f>'MM volume and PL walletwise'!AA27+'MM volume and PL walletwise'!#REF!</f>
        <v>#REF!</v>
      </c>
      <c r="M26" s="6" t="e">
        <f>'MM volume and PL walletwise'!AC27+'MM volume and PL walletwise'!#REF!</f>
        <v>#REF!</v>
      </c>
      <c r="N26" s="6" t="e">
        <f>'MM volume and PL walletwise'!AE27+'MM volume and PL walletwise'!#REF!</f>
        <v>#REF!</v>
      </c>
    </row>
    <row r="27" spans="1:14" x14ac:dyDescent="0.2">
      <c r="A27" s="5">
        <v>45987</v>
      </c>
      <c r="B27" s="6">
        <v>200.048</v>
      </c>
      <c r="C27" s="7">
        <v>8.8109999999999992E-6</v>
      </c>
      <c r="D27" s="6" t="e">
        <f>'MM volume and PL walletwise'!S28+'MM volume and PL walletwise'!#REF!</f>
        <v>#REF!</v>
      </c>
      <c r="E27" s="6" t="e">
        <f>'MM volume and PL walletwise'!T28+'MM volume and PL walletwise'!#REF!</f>
        <v>#REF!</v>
      </c>
      <c r="F27" s="6" t="e">
        <f>'MM volume and PL walletwise'!U28+'MM volume and PL walletwise'!#REF!</f>
        <v>#REF!</v>
      </c>
      <c r="G27" s="6" t="e">
        <f>'MM volume and PL walletwise'!V28+'MM volume and PL walletwise'!#REF!</f>
        <v>#REF!</v>
      </c>
      <c r="H27" s="6" t="e">
        <f>'MM volume and PL walletwise'!W28+'MM volume and PL walletwise'!#REF!</f>
        <v>#REF!</v>
      </c>
      <c r="I27" s="6" t="e">
        <f>'MM volume and PL walletwise'!X28+'MM volume and PL walletwise'!#REF!</f>
        <v>#REF!</v>
      </c>
      <c r="J27" s="6" t="e">
        <f>'MM volume and PL walletwise'!Y28+'MM volume and PL walletwise'!#REF!</f>
        <v>#REF!</v>
      </c>
      <c r="K27" s="6" t="e">
        <f>'MM volume and PL walletwise'!Z28+'MM volume and PL walletwise'!#REF!</f>
        <v>#REF!</v>
      </c>
      <c r="L27" s="6" t="e">
        <f>'MM volume and PL walletwise'!AA28+'MM volume and PL walletwise'!#REF!</f>
        <v>#REF!</v>
      </c>
      <c r="M27" s="6" t="e">
        <f>'MM volume and PL walletwise'!AC28+'MM volume and PL walletwise'!#REF!</f>
        <v>#REF!</v>
      </c>
      <c r="N27" s="6" t="e">
        <f>'MM volume and PL walletwise'!AE28+'MM volume and PL walletwise'!#REF!</f>
        <v>#REF!</v>
      </c>
    </row>
    <row r="28" spans="1:14" x14ac:dyDescent="0.2">
      <c r="A28" s="5">
        <v>45988</v>
      </c>
      <c r="B28" s="6">
        <v>201.494</v>
      </c>
      <c r="C28" s="7">
        <v>8.7849999999999997E-6</v>
      </c>
      <c r="D28" s="6" t="e">
        <f>'MM volume and PL walletwise'!S29+'MM volume and PL walletwise'!#REF!</f>
        <v>#REF!</v>
      </c>
      <c r="E28" s="6" t="e">
        <f>'MM volume and PL walletwise'!T29+'MM volume and PL walletwise'!#REF!</f>
        <v>#REF!</v>
      </c>
      <c r="F28" s="6" t="e">
        <f>'MM volume and PL walletwise'!U29+'MM volume and PL walletwise'!#REF!</f>
        <v>#REF!</v>
      </c>
      <c r="G28" s="6" t="e">
        <f>'MM volume and PL walletwise'!V29+'MM volume and PL walletwise'!#REF!</f>
        <v>#REF!</v>
      </c>
      <c r="H28" s="6" t="e">
        <f>'MM volume and PL walletwise'!W29+'MM volume and PL walletwise'!#REF!</f>
        <v>#REF!</v>
      </c>
      <c r="I28" s="6" t="e">
        <f>'MM volume and PL walletwise'!X29+'MM volume and PL walletwise'!#REF!</f>
        <v>#REF!</v>
      </c>
      <c r="J28" s="6" t="e">
        <f>'MM volume and PL walletwise'!Y29+'MM volume and PL walletwise'!#REF!</f>
        <v>#REF!</v>
      </c>
      <c r="K28" s="6" t="e">
        <f>'MM volume and PL walletwise'!Z29+'MM volume and PL walletwise'!#REF!</f>
        <v>#REF!</v>
      </c>
      <c r="L28" s="6" t="e">
        <f>'MM volume and PL walletwise'!AA29+'MM volume and PL walletwise'!#REF!</f>
        <v>#REF!</v>
      </c>
      <c r="M28" s="6" t="e">
        <f>'MM volume and PL walletwise'!AC29+'MM volume and PL walletwise'!#REF!</f>
        <v>#REF!</v>
      </c>
      <c r="N28" s="6" t="e">
        <f>'MM volume and PL walletwise'!AE29+'MM volume and PL walletwise'!#REF!</f>
        <v>#REF!</v>
      </c>
    </row>
    <row r="29" spans="1:14" x14ac:dyDescent="0.2">
      <c r="A29" s="5">
        <v>45989</v>
      </c>
      <c r="B29" s="6">
        <v>203.249</v>
      </c>
      <c r="C29" s="7">
        <v>8.9239999999999996E-6</v>
      </c>
      <c r="D29" s="6" t="e">
        <f>'MM volume and PL walletwise'!S30+'MM volume and PL walletwise'!#REF!</f>
        <v>#REF!</v>
      </c>
      <c r="E29" s="6" t="e">
        <f>'MM volume and PL walletwise'!T30+'MM volume and PL walletwise'!#REF!</f>
        <v>#REF!</v>
      </c>
      <c r="F29" s="6" t="e">
        <f>'MM volume and PL walletwise'!U30+'MM volume and PL walletwise'!#REF!</f>
        <v>#REF!</v>
      </c>
      <c r="G29" s="6" t="e">
        <f>'MM volume and PL walletwise'!V30+'MM volume and PL walletwise'!#REF!</f>
        <v>#REF!</v>
      </c>
      <c r="H29" s="6" t="e">
        <f>'MM volume and PL walletwise'!W30+'MM volume and PL walletwise'!#REF!</f>
        <v>#REF!</v>
      </c>
      <c r="I29" s="6" t="e">
        <f>'MM volume and PL walletwise'!X30+'MM volume and PL walletwise'!#REF!</f>
        <v>#REF!</v>
      </c>
      <c r="J29" s="6" t="e">
        <f>'MM volume and PL walletwise'!Y30+'MM volume and PL walletwise'!#REF!</f>
        <v>#REF!</v>
      </c>
      <c r="K29" s="6" t="e">
        <f>'MM volume and PL walletwise'!Z30+'MM volume and PL walletwise'!#REF!</f>
        <v>#REF!</v>
      </c>
      <c r="L29" s="6" t="e">
        <f>'MM volume and PL walletwise'!AA30+'MM volume and PL walletwise'!#REF!</f>
        <v>#REF!</v>
      </c>
      <c r="M29" s="6" t="e">
        <f>'MM volume and PL walletwise'!AC30+'MM volume and PL walletwise'!#REF!</f>
        <v>#REF!</v>
      </c>
      <c r="N29" s="6" t="e">
        <f>'MM volume and PL walletwise'!AE30+'MM volume and PL walletwise'!#REF!</f>
        <v>#REF!</v>
      </c>
    </row>
    <row r="30" spans="1:14" x14ac:dyDescent="0.2">
      <c r="A30" s="5">
        <v>45990</v>
      </c>
      <c r="B30" s="6">
        <v>195.357</v>
      </c>
      <c r="C30" s="7">
        <v>9.0850000000000003E-6</v>
      </c>
      <c r="D30" s="6" t="e">
        <f>'MM volume and PL walletwise'!#REF!+'MM volume and PL walletwise'!#REF!</f>
        <v>#REF!</v>
      </c>
      <c r="E30" s="6" t="e">
        <f>'MM volume and PL walletwise'!#REF!+'MM volume and PL walletwise'!#REF!</f>
        <v>#REF!</v>
      </c>
      <c r="F30" s="6" t="e">
        <f>'MM volume and PL walletwise'!#REF!+'MM volume and PL walletwise'!#REF!</f>
        <v>#REF!</v>
      </c>
      <c r="G30" s="6" t="e">
        <f>'MM volume and PL walletwise'!#REF!+'MM volume and PL walletwise'!#REF!</f>
        <v>#REF!</v>
      </c>
      <c r="H30" s="6" t="e">
        <f>'MM volume and PL walletwise'!#REF!+'MM volume and PL walletwise'!#REF!</f>
        <v>#REF!</v>
      </c>
      <c r="I30" s="6" t="e">
        <f>'MM volume and PL walletwise'!#REF!+'MM volume and PL walletwise'!#REF!</f>
        <v>#REF!</v>
      </c>
      <c r="J30" s="6" t="e">
        <f>'MM volume and PL walletwise'!#REF!+'MM volume and PL walletwise'!#REF!</f>
        <v>#REF!</v>
      </c>
      <c r="K30" s="6" t="e">
        <f>'MM volume and PL walletwise'!#REF!+'MM volume and PL walletwise'!#REF!</f>
        <v>#REF!</v>
      </c>
      <c r="L30" s="6" t="e">
        <f>'MM volume and PL walletwise'!#REF!+'MM volume and PL walletwise'!#REF!</f>
        <v>#REF!</v>
      </c>
      <c r="M30" s="6" t="e">
        <f>'MM volume and PL walletwise'!#REF!+'MM volume and PL walletwise'!#REF!</f>
        <v>#REF!</v>
      </c>
      <c r="N30" s="6" t="e">
        <f>'MM volume and PL walletwise'!#REF!+'MM volume and PL walletwise'!#REF!</f>
        <v>#REF!</v>
      </c>
    </row>
    <row r="31" spans="1:14" x14ac:dyDescent="0.2">
      <c r="A31" s="5">
        <v>45991</v>
      </c>
      <c r="B31" s="6">
        <v>190.99799999999999</v>
      </c>
      <c r="C31" s="7">
        <v>9.0480000000000004E-6</v>
      </c>
      <c r="D31" s="6" t="e">
        <f>'MM volume and PL walletwise'!#REF!+'MM volume and PL walletwise'!#REF!</f>
        <v>#REF!</v>
      </c>
      <c r="E31" s="6" t="e">
        <f>'MM volume and PL walletwise'!#REF!+'MM volume and PL walletwise'!#REF!</f>
        <v>#REF!</v>
      </c>
      <c r="F31" s="6" t="e">
        <f>'MM volume and PL walletwise'!#REF!+'MM volume and PL walletwise'!#REF!</f>
        <v>#REF!</v>
      </c>
      <c r="G31" s="6" t="e">
        <f>'MM volume and PL walletwise'!#REF!+'MM volume and PL walletwise'!#REF!</f>
        <v>#REF!</v>
      </c>
      <c r="H31" s="6" t="e">
        <f>'MM volume and PL walletwise'!#REF!+'MM volume and PL walletwise'!#REF!</f>
        <v>#REF!</v>
      </c>
      <c r="I31" s="6" t="e">
        <f>'MM volume and PL walletwise'!#REF!+'MM volume and PL walletwise'!#REF!</f>
        <v>#REF!</v>
      </c>
      <c r="J31" s="6" t="e">
        <f>'MM volume and PL walletwise'!#REF!+'MM volume and PL walletwise'!#REF!</f>
        <v>#REF!</v>
      </c>
      <c r="K31" s="6" t="e">
        <f>'MM volume and PL walletwise'!#REF!+'MM volume and PL walletwise'!#REF!</f>
        <v>#REF!</v>
      </c>
      <c r="L31" s="6" t="e">
        <f>'MM volume and PL walletwise'!#REF!+'MM volume and PL walletwise'!#REF!</f>
        <v>#REF!</v>
      </c>
      <c r="M31" s="6" t="e">
        <f>'MM volume and PL walletwise'!#REF!+'MM volume and PL walletwise'!#REF!</f>
        <v>#REF!</v>
      </c>
      <c r="N31" s="6" t="e">
        <f>'MM volume and PL walletwise'!#REF!+'MM volume and PL walletwise'!#REF!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P34"/>
  <sheetViews>
    <sheetView tabSelected="1" zoomScale="112" zoomScaleNormal="112" workbookViewId="0">
      <selection activeCell="G31" sqref="G31"/>
    </sheetView>
  </sheetViews>
  <sheetFormatPr baseColWidth="10" defaultColWidth="10.83203125" defaultRowHeight="16" x14ac:dyDescent="0.2"/>
  <cols>
    <col min="1" max="1" width="10.6640625" style="3" bestFit="1" customWidth="1"/>
    <col min="2" max="2" width="15.5" style="3" bestFit="1" customWidth="1"/>
    <col min="3" max="3" width="16.5" style="3" bestFit="1" customWidth="1"/>
    <col min="4" max="4" width="17.1640625" style="3" bestFit="1" customWidth="1"/>
    <col min="5" max="5" width="16" style="3" bestFit="1" customWidth="1"/>
    <col min="6" max="6" width="16.1640625" style="3" bestFit="1" customWidth="1"/>
    <col min="7" max="7" width="15.1640625" style="3" bestFit="1" customWidth="1"/>
    <col min="8" max="8" width="16.1640625" style="3" bestFit="1" customWidth="1"/>
    <col min="9" max="9" width="15.33203125" style="3" bestFit="1" customWidth="1"/>
    <col min="10" max="10" width="15.83203125" style="3" bestFit="1" customWidth="1"/>
    <col min="11" max="11" width="18" style="3" bestFit="1" customWidth="1"/>
    <col min="12" max="12" width="19.1640625" style="3" bestFit="1" customWidth="1"/>
    <col min="13" max="13" width="21.6640625" style="3" bestFit="1" customWidth="1"/>
    <col min="14" max="14" width="20.1640625" style="3" bestFit="1" customWidth="1"/>
    <col min="15" max="15" width="17.1640625" style="3" bestFit="1" customWidth="1"/>
    <col min="16" max="16" width="18.33203125" style="3" bestFit="1" customWidth="1"/>
    <col min="17" max="17" width="10.83203125" style="3"/>
    <col min="18" max="18" width="10.6640625" style="3" bestFit="1" customWidth="1"/>
    <col min="19" max="19" width="15.1640625" style="3" bestFit="1" customWidth="1"/>
    <col min="20" max="20" width="16.5" style="3" bestFit="1" customWidth="1"/>
    <col min="21" max="21" width="12.1640625" style="3" bestFit="1" customWidth="1"/>
    <col min="22" max="22" width="13.1640625" style="3" bestFit="1" customWidth="1"/>
    <col min="23" max="23" width="14.1640625" style="3" bestFit="1" customWidth="1"/>
    <col min="24" max="24" width="16.1640625" style="3" bestFit="1" customWidth="1"/>
    <col min="25" max="25" width="15.33203125" style="3" bestFit="1" customWidth="1"/>
    <col min="26" max="26" width="14.6640625" style="3" bestFit="1" customWidth="1"/>
    <col min="27" max="27" width="8.33203125" style="3" bestFit="1" customWidth="1"/>
    <col min="28" max="28" width="14.33203125" style="3" bestFit="1" customWidth="1"/>
    <col min="29" max="29" width="10.1640625" style="3" bestFit="1" customWidth="1"/>
    <col min="30" max="31" width="16.1640625" style="3" bestFit="1" customWidth="1"/>
    <col min="32" max="32" width="10.83203125" style="3"/>
    <col min="33" max="33" width="10.6640625" style="3" bestFit="1" customWidth="1"/>
    <col min="34" max="34" width="15.1640625" style="3" bestFit="1" customWidth="1"/>
    <col min="35" max="35" width="16.5" style="3" bestFit="1" customWidth="1"/>
    <col min="36" max="36" width="12.1640625" style="3" bestFit="1" customWidth="1"/>
    <col min="37" max="37" width="16.1640625" style="3" bestFit="1" customWidth="1"/>
    <col min="38" max="38" width="14.1640625" style="3" bestFit="1" customWidth="1"/>
    <col min="39" max="39" width="16.1640625" style="3" bestFit="1" customWidth="1"/>
    <col min="40" max="40" width="15.33203125" style="3" bestFit="1" customWidth="1"/>
    <col min="41" max="41" width="14.6640625" style="3" bestFit="1" customWidth="1"/>
    <col min="42" max="42" width="8.33203125" style="3" bestFit="1" customWidth="1"/>
    <col min="43" max="43" width="14.33203125" style="3" bestFit="1" customWidth="1"/>
    <col min="44" max="44" width="10.1640625" style="3" bestFit="1" customWidth="1"/>
    <col min="45" max="45" width="16.1640625" style="3" bestFit="1" customWidth="1"/>
    <col min="46" max="46" width="16.6640625" style="3" bestFit="1" customWidth="1"/>
    <col min="47" max="47" width="10.83203125" style="3"/>
    <col min="48" max="48" width="10.6640625" style="3" bestFit="1" customWidth="1"/>
    <col min="49" max="49" width="15.1640625" style="3" bestFit="1" customWidth="1"/>
    <col min="50" max="50" width="23.33203125" style="3" bestFit="1" customWidth="1"/>
    <col min="51" max="51" width="12.1640625" style="3" bestFit="1" customWidth="1"/>
    <col min="52" max="52" width="23.33203125" style="3" bestFit="1" customWidth="1"/>
    <col min="53" max="53" width="24.33203125" style="3" bestFit="1" customWidth="1"/>
    <col min="54" max="54" width="16.1640625" style="3" bestFit="1" customWidth="1"/>
    <col min="55" max="55" width="15.33203125" style="3" bestFit="1" customWidth="1"/>
    <col min="56" max="56" width="20.6640625" style="3" bestFit="1" customWidth="1"/>
    <col min="57" max="57" width="9.33203125" style="3" bestFit="1" customWidth="1"/>
    <col min="58" max="58" width="15.33203125" style="3" bestFit="1" customWidth="1"/>
    <col min="59" max="59" width="11.1640625" style="3" bestFit="1" customWidth="1"/>
    <col min="60" max="60" width="17.33203125" style="3" bestFit="1" customWidth="1"/>
    <col min="61" max="61" width="16.6640625" style="3" bestFit="1" customWidth="1"/>
    <col min="62" max="62" width="10.83203125" style="3"/>
    <col min="63" max="63" width="10.6640625" style="3" bestFit="1" customWidth="1"/>
    <col min="64" max="64" width="15.1640625" style="3" bestFit="1" customWidth="1"/>
    <col min="65" max="65" width="23.33203125" style="3" bestFit="1" customWidth="1"/>
    <col min="66" max="66" width="12.1640625" style="3" bestFit="1" customWidth="1"/>
    <col min="67" max="67" width="23.33203125" style="3" bestFit="1" customWidth="1"/>
    <col min="68" max="68" width="24.33203125" style="3" bestFit="1" customWidth="1"/>
    <col min="69" max="69" width="16.1640625" style="3" bestFit="1" customWidth="1"/>
    <col min="70" max="70" width="15.33203125" style="3" bestFit="1" customWidth="1"/>
    <col min="71" max="71" width="20.6640625" style="3" bestFit="1" customWidth="1"/>
    <col min="72" max="72" width="9.33203125" style="3" bestFit="1" customWidth="1"/>
    <col min="73" max="73" width="15.33203125" style="3" bestFit="1" customWidth="1"/>
    <col min="74" max="74" width="11.1640625" style="3" bestFit="1" customWidth="1"/>
    <col min="75" max="75" width="17.33203125" style="3" bestFit="1" customWidth="1"/>
    <col min="76" max="76" width="16.1640625" style="3" bestFit="1" customWidth="1"/>
    <col min="77" max="77" width="10.83203125" style="3"/>
    <col min="78" max="78" width="10.6640625" style="3" bestFit="1" customWidth="1"/>
    <col min="79" max="79" width="15.1640625" style="3" bestFit="1" customWidth="1"/>
    <col min="80" max="80" width="23.33203125" style="3" bestFit="1" customWidth="1"/>
    <col min="81" max="81" width="12.1640625" style="3" bestFit="1" customWidth="1"/>
    <col min="82" max="82" width="23.33203125" style="3" bestFit="1" customWidth="1"/>
    <col min="83" max="83" width="24.33203125" style="3" bestFit="1" customWidth="1"/>
    <col min="84" max="84" width="16.1640625" style="3" bestFit="1" customWidth="1"/>
    <col min="85" max="85" width="15.33203125" style="3" bestFit="1" customWidth="1"/>
    <col min="86" max="86" width="20.6640625" style="3" bestFit="1" customWidth="1"/>
    <col min="87" max="87" width="9" style="3" bestFit="1" customWidth="1"/>
    <col min="88" max="88" width="15" style="3" bestFit="1" customWidth="1"/>
    <col min="89" max="89" width="10.83203125" style="3" bestFit="1" customWidth="1"/>
    <col min="90" max="90" width="16.83203125" style="3" bestFit="1" customWidth="1"/>
    <col min="91" max="91" width="16.1640625" style="3" bestFit="1" customWidth="1"/>
    <col min="92" max="92" width="10.83203125" style="3"/>
    <col min="93" max="93" width="10.6640625" style="3" bestFit="1" customWidth="1"/>
    <col min="94" max="94" width="15.1640625" style="3" bestFit="1" customWidth="1"/>
    <col min="95" max="95" width="23.33203125" style="3" bestFit="1" customWidth="1"/>
    <col min="96" max="96" width="12.1640625" style="3" bestFit="1" customWidth="1"/>
    <col min="97" max="97" width="23.33203125" style="3" bestFit="1" customWidth="1"/>
    <col min="98" max="98" width="24.33203125" style="3" bestFit="1" customWidth="1"/>
    <col min="99" max="99" width="16.1640625" style="3" bestFit="1" customWidth="1"/>
    <col min="100" max="100" width="15.33203125" style="3" bestFit="1" customWidth="1"/>
    <col min="101" max="101" width="20.6640625" style="3" bestFit="1" customWidth="1"/>
    <col min="102" max="102" width="9" style="3" bestFit="1" customWidth="1"/>
    <col min="103" max="103" width="15" style="3" bestFit="1" customWidth="1"/>
    <col min="104" max="104" width="10.83203125" style="3" bestFit="1" customWidth="1"/>
    <col min="105" max="105" width="16.83203125" style="3" bestFit="1" customWidth="1"/>
    <col min="106" max="106" width="16.1640625" style="3" bestFit="1" customWidth="1"/>
    <col min="107" max="107" width="10.83203125" style="3"/>
    <col min="108" max="108" width="10.6640625" style="3" bestFit="1" customWidth="1"/>
    <col min="109" max="109" width="15.1640625" style="3" bestFit="1" customWidth="1"/>
    <col min="110" max="110" width="16.5" style="3" bestFit="1" customWidth="1"/>
    <col min="111" max="111" width="12.1640625" style="3" bestFit="1" customWidth="1"/>
    <col min="112" max="112" width="13.1640625" style="3" bestFit="1" customWidth="1"/>
    <col min="113" max="113" width="14.1640625" style="3" bestFit="1" customWidth="1"/>
    <col min="114" max="114" width="16.1640625" style="3" bestFit="1" customWidth="1"/>
    <col min="115" max="115" width="15.33203125" style="3" bestFit="1" customWidth="1"/>
    <col min="116" max="116" width="14.6640625" style="3" bestFit="1" customWidth="1"/>
    <col min="117" max="117" width="8.83203125" style="3" bestFit="1" customWidth="1"/>
    <col min="118" max="118" width="14.83203125" style="3" bestFit="1" customWidth="1"/>
    <col min="119" max="119" width="10.6640625" style="3" bestFit="1" customWidth="1"/>
    <col min="120" max="120" width="16.6640625" style="3" bestFit="1" customWidth="1"/>
    <col min="121" max="121" width="16.1640625" style="3" bestFit="1" customWidth="1"/>
    <col min="122" max="122" width="10.83203125" style="3"/>
    <col min="123" max="123" width="10.6640625" style="3" bestFit="1" customWidth="1"/>
    <col min="124" max="124" width="15.1640625" style="3" bestFit="1" customWidth="1"/>
    <col min="125" max="125" width="16.5" style="3" bestFit="1" customWidth="1"/>
    <col min="126" max="126" width="12.1640625" style="3" bestFit="1" customWidth="1"/>
    <col min="127" max="127" width="13.1640625" style="3" bestFit="1" customWidth="1"/>
    <col min="128" max="128" width="14.1640625" style="3" bestFit="1" customWidth="1"/>
    <col min="129" max="129" width="16.1640625" style="3" bestFit="1" customWidth="1"/>
    <col min="130" max="130" width="15.33203125" style="3" bestFit="1" customWidth="1"/>
    <col min="131" max="131" width="14.6640625" style="3" bestFit="1" customWidth="1"/>
    <col min="132" max="132" width="9.83203125" style="3" bestFit="1" customWidth="1"/>
    <col min="133" max="133" width="15.83203125" style="3" bestFit="1" customWidth="1"/>
    <col min="134" max="134" width="10.6640625" style="3" bestFit="1" customWidth="1"/>
    <col min="135" max="135" width="17.83203125" style="3" bestFit="1" customWidth="1"/>
    <col min="136" max="136" width="16.1640625" style="3" bestFit="1" customWidth="1"/>
    <col min="137" max="137" width="10.83203125" style="3"/>
    <col min="138" max="138" width="10.6640625" style="3" bestFit="1" customWidth="1"/>
    <col min="139" max="139" width="15.1640625" style="3" bestFit="1" customWidth="1"/>
    <col min="140" max="140" width="16.5" style="3" bestFit="1" customWidth="1"/>
    <col min="141" max="141" width="12.1640625" style="3" bestFit="1" customWidth="1"/>
    <col min="142" max="142" width="13.1640625" style="3" bestFit="1" customWidth="1"/>
    <col min="143" max="143" width="14.1640625" style="3" bestFit="1" customWidth="1"/>
    <col min="144" max="144" width="16.1640625" style="3" bestFit="1" customWidth="1"/>
    <col min="145" max="145" width="15.33203125" style="3" bestFit="1" customWidth="1"/>
    <col min="146" max="146" width="14.6640625" style="3" bestFit="1" customWidth="1"/>
    <col min="147" max="147" width="9.83203125" style="3" bestFit="1" customWidth="1"/>
    <col min="148" max="148" width="14" style="3" bestFit="1" customWidth="1"/>
    <col min="149" max="149" width="9.83203125" style="3" bestFit="1" customWidth="1"/>
    <col min="150" max="150" width="15.83203125" style="3" bestFit="1" customWidth="1"/>
    <col min="151" max="151" width="16.1640625" style="3" bestFit="1" customWidth="1"/>
    <col min="152" max="152" width="10.83203125" style="3"/>
    <col min="153" max="153" width="10.1640625" style="3" bestFit="1" customWidth="1"/>
    <col min="154" max="154" width="15.1640625" style="3" bestFit="1" customWidth="1"/>
    <col min="155" max="155" width="16.5" style="3" bestFit="1" customWidth="1"/>
    <col min="156" max="156" width="12.1640625" style="3" bestFit="1" customWidth="1"/>
    <col min="157" max="157" width="13.1640625" style="3" bestFit="1" customWidth="1"/>
    <col min="158" max="158" width="14.1640625" style="3" bestFit="1" customWidth="1"/>
    <col min="159" max="159" width="16.1640625" style="3" bestFit="1" customWidth="1"/>
    <col min="160" max="160" width="15.33203125" style="3" bestFit="1" customWidth="1"/>
    <col min="161" max="161" width="14.6640625" style="3" bestFit="1" customWidth="1"/>
    <col min="162" max="162" width="8" style="3" bestFit="1" customWidth="1"/>
    <col min="163" max="163" width="14" style="3" bestFit="1" customWidth="1"/>
    <col min="164" max="164" width="9.83203125" style="3" bestFit="1" customWidth="1"/>
    <col min="165" max="165" width="15.83203125" style="3" bestFit="1" customWidth="1"/>
    <col min="166" max="166" width="16.1640625" style="3" bestFit="1" customWidth="1"/>
    <col min="167" max="167" width="10.83203125" style="3"/>
    <col min="168" max="168" width="10.1640625" style="3" bestFit="1" customWidth="1"/>
    <col min="169" max="169" width="15.1640625" style="3" bestFit="1" customWidth="1"/>
    <col min="170" max="170" width="16.5" style="3" bestFit="1" customWidth="1"/>
    <col min="171" max="171" width="12.1640625" style="3" bestFit="1" customWidth="1"/>
    <col min="172" max="172" width="13.1640625" style="3" bestFit="1" customWidth="1"/>
    <col min="173" max="173" width="14.1640625" style="3" bestFit="1" customWidth="1"/>
    <col min="174" max="174" width="16.1640625" style="3" bestFit="1" customWidth="1"/>
    <col min="175" max="175" width="15.33203125" style="3" bestFit="1" customWidth="1"/>
    <col min="176" max="176" width="14.6640625" style="3" bestFit="1" customWidth="1"/>
    <col min="177" max="177" width="10.83203125" style="3" bestFit="1" customWidth="1"/>
    <col min="178" max="178" width="15" style="3" bestFit="1" customWidth="1"/>
    <col min="179" max="179" width="10.83203125" style="3" bestFit="1" customWidth="1"/>
    <col min="180" max="180" width="16.83203125" style="3" bestFit="1" customWidth="1"/>
    <col min="181" max="181" width="16.1640625" style="3" bestFit="1" customWidth="1"/>
    <col min="182" max="182" width="10.83203125" style="3"/>
    <col min="183" max="183" width="10.1640625" style="3" bestFit="1" customWidth="1"/>
    <col min="184" max="184" width="15.1640625" style="3" bestFit="1" customWidth="1"/>
    <col min="185" max="185" width="16.5" style="3" bestFit="1" customWidth="1"/>
    <col min="186" max="186" width="12.1640625" style="3" bestFit="1" customWidth="1"/>
    <col min="187" max="187" width="13.1640625" style="3" bestFit="1" customWidth="1"/>
    <col min="188" max="188" width="14.1640625" style="3" bestFit="1" customWidth="1"/>
    <col min="189" max="189" width="16.1640625" style="3" bestFit="1" customWidth="1"/>
    <col min="190" max="190" width="15.33203125" style="3" bestFit="1" customWidth="1"/>
    <col min="191" max="191" width="14.6640625" style="3" bestFit="1" customWidth="1"/>
    <col min="192" max="192" width="10.83203125" style="3" bestFit="1" customWidth="1"/>
    <col min="193" max="193" width="15" style="3" bestFit="1" customWidth="1"/>
    <col min="194" max="194" width="11.1640625" style="3" bestFit="1" customWidth="1"/>
    <col min="195" max="195" width="16.83203125" style="3" bestFit="1" customWidth="1"/>
    <col min="196" max="196" width="16.1640625" style="3" bestFit="1" customWidth="1"/>
    <col min="197" max="197" width="10.83203125" style="3"/>
    <col min="198" max="198" width="10.1640625" style="3" bestFit="1" customWidth="1"/>
    <col min="199" max="199" width="15.1640625" style="3" bestFit="1" customWidth="1"/>
    <col min="200" max="200" width="16.5" style="3" bestFit="1" customWidth="1"/>
    <col min="201" max="201" width="12.1640625" style="3" bestFit="1" customWidth="1"/>
    <col min="202" max="202" width="13.1640625" style="3" bestFit="1" customWidth="1"/>
    <col min="203" max="203" width="14.1640625" style="3" bestFit="1" customWidth="1"/>
    <col min="204" max="204" width="16.1640625" style="3" bestFit="1" customWidth="1"/>
    <col min="205" max="205" width="15.33203125" style="3" bestFit="1" customWidth="1"/>
    <col min="206" max="206" width="14.6640625" style="3" bestFit="1" customWidth="1"/>
    <col min="207" max="207" width="9.1640625" style="3" bestFit="1" customWidth="1"/>
    <col min="208" max="208" width="15.1640625" style="3" bestFit="1" customWidth="1"/>
    <col min="209" max="209" width="11" style="3" bestFit="1" customWidth="1"/>
    <col min="210" max="210" width="17.1640625" style="3" bestFit="1" customWidth="1"/>
    <col min="211" max="211" width="16.1640625" style="3" bestFit="1" customWidth="1"/>
    <col min="212" max="212" width="10.83203125" style="3"/>
    <col min="213" max="213" width="10.1640625" style="3" bestFit="1" customWidth="1"/>
    <col min="214" max="214" width="15.1640625" style="3" bestFit="1" customWidth="1"/>
    <col min="215" max="215" width="16.5" style="3" bestFit="1" customWidth="1"/>
    <col min="216" max="216" width="12.1640625" style="3" bestFit="1" customWidth="1"/>
    <col min="217" max="217" width="13.1640625" style="3" bestFit="1" customWidth="1"/>
    <col min="218" max="218" width="14.1640625" style="3" bestFit="1" customWidth="1"/>
    <col min="219" max="219" width="16.1640625" style="3" bestFit="1" customWidth="1"/>
    <col min="220" max="220" width="15.33203125" style="3" bestFit="1" customWidth="1"/>
    <col min="221" max="221" width="14.6640625" style="3" bestFit="1" customWidth="1"/>
    <col min="222" max="222" width="9.6640625" style="3" bestFit="1" customWidth="1"/>
    <col min="223" max="223" width="15.1640625" style="3" bestFit="1" customWidth="1"/>
    <col min="224" max="224" width="11" style="3" bestFit="1" customWidth="1"/>
    <col min="225" max="225" width="17.1640625" style="3" bestFit="1" customWidth="1"/>
    <col min="226" max="226" width="16.1640625" style="3" bestFit="1" customWidth="1"/>
    <col min="227" max="227" width="10.83203125" style="3"/>
    <col min="228" max="228" width="10.1640625" style="3" bestFit="1" customWidth="1"/>
    <col min="229" max="229" width="15.1640625" style="3" bestFit="1" customWidth="1"/>
    <col min="230" max="230" width="16.5" style="3" bestFit="1" customWidth="1"/>
    <col min="231" max="231" width="12.1640625" style="3" bestFit="1" customWidth="1"/>
    <col min="232" max="232" width="13.1640625" style="3" bestFit="1" customWidth="1"/>
    <col min="233" max="233" width="14.1640625" style="3" bestFit="1" customWidth="1"/>
    <col min="234" max="234" width="16.1640625" style="3" bestFit="1" customWidth="1"/>
    <col min="235" max="235" width="15.33203125" style="3" bestFit="1" customWidth="1"/>
    <col min="236" max="236" width="14.6640625" style="3" bestFit="1" customWidth="1"/>
    <col min="237" max="237" width="8.1640625" style="3" bestFit="1" customWidth="1"/>
    <col min="238" max="238" width="14.1640625" style="3" bestFit="1" customWidth="1"/>
    <col min="239" max="239" width="10.1640625" style="3" bestFit="1" customWidth="1"/>
    <col min="240" max="241" width="16.1640625" style="3" bestFit="1" customWidth="1"/>
    <col min="242" max="242" width="10.83203125" style="3"/>
    <col min="243" max="243" width="10.1640625" style="3" bestFit="1" customWidth="1"/>
    <col min="244" max="244" width="15.1640625" style="3" bestFit="1" customWidth="1"/>
    <col min="245" max="245" width="16.5" style="3" bestFit="1" customWidth="1"/>
    <col min="246" max="246" width="12.1640625" style="3" bestFit="1" customWidth="1"/>
    <col min="247" max="247" width="13.1640625" style="3" bestFit="1" customWidth="1"/>
    <col min="248" max="248" width="14.1640625" style="3" bestFit="1" customWidth="1"/>
    <col min="249" max="249" width="16.1640625" style="3" bestFit="1" customWidth="1"/>
    <col min="250" max="250" width="15.33203125" style="3" bestFit="1" customWidth="1"/>
    <col min="251" max="251" width="14.6640625" style="3" bestFit="1" customWidth="1"/>
    <col min="252" max="252" width="8.1640625" style="3" bestFit="1" customWidth="1"/>
    <col min="253" max="253" width="14.1640625" style="3" bestFit="1" customWidth="1"/>
    <col min="254" max="254" width="10.1640625" style="3" bestFit="1" customWidth="1"/>
    <col min="255" max="256" width="16.1640625" style="3" bestFit="1" customWidth="1"/>
    <col min="257" max="257" width="10.83203125" style="3"/>
    <col min="258" max="258" width="10.1640625" style="3" bestFit="1" customWidth="1"/>
    <col min="259" max="259" width="15.1640625" style="3" bestFit="1" customWidth="1"/>
    <col min="260" max="260" width="16.5" style="3" bestFit="1" customWidth="1"/>
    <col min="261" max="261" width="12.1640625" style="3" bestFit="1" customWidth="1"/>
    <col min="262" max="262" width="13.1640625" style="3" bestFit="1" customWidth="1"/>
    <col min="263" max="263" width="14.1640625" style="3" bestFit="1" customWidth="1"/>
    <col min="264" max="264" width="16.1640625" style="3" bestFit="1" customWidth="1"/>
    <col min="265" max="265" width="15.33203125" style="3" bestFit="1" customWidth="1"/>
    <col min="266" max="266" width="14.6640625" style="3" bestFit="1" customWidth="1"/>
    <col min="267" max="267" width="8.6640625" style="3" bestFit="1" customWidth="1"/>
    <col min="268" max="268" width="14.6640625" style="3" bestFit="1" customWidth="1"/>
    <col min="269" max="269" width="10.6640625" style="3" bestFit="1" customWidth="1"/>
    <col min="270" max="270" width="16.6640625" style="3" bestFit="1" customWidth="1"/>
    <col min="271" max="271" width="16.1640625" style="3" bestFit="1" customWidth="1"/>
    <col min="272" max="272" width="10.83203125" style="3"/>
    <col min="273" max="273" width="10.1640625" style="3" bestFit="1" customWidth="1"/>
    <col min="274" max="274" width="15.1640625" style="3" bestFit="1" customWidth="1"/>
    <col min="275" max="275" width="16.5" style="3" bestFit="1" customWidth="1"/>
    <col min="276" max="276" width="12.1640625" style="3" bestFit="1" customWidth="1"/>
    <col min="277" max="277" width="13.1640625" style="3" bestFit="1" customWidth="1"/>
    <col min="278" max="278" width="14.1640625" style="3" bestFit="1" customWidth="1"/>
    <col min="279" max="279" width="16.1640625" style="3" bestFit="1" customWidth="1"/>
    <col min="280" max="280" width="15.33203125" style="3" bestFit="1" customWidth="1"/>
    <col min="281" max="281" width="14.6640625" style="3" bestFit="1" customWidth="1"/>
    <col min="282" max="282" width="8.6640625" style="3" bestFit="1" customWidth="1"/>
    <col min="283" max="283" width="14.6640625" style="3" bestFit="1" customWidth="1"/>
    <col min="284" max="284" width="10.6640625" style="3" bestFit="1" customWidth="1"/>
    <col min="285" max="285" width="16.6640625" style="3" bestFit="1" customWidth="1"/>
    <col min="286" max="286" width="16.1640625" style="3" bestFit="1" customWidth="1"/>
    <col min="287" max="287" width="10.83203125" style="3"/>
    <col min="288" max="288" width="10.6640625" style="3" bestFit="1" customWidth="1"/>
    <col min="289" max="289" width="15.1640625" style="3" bestFit="1" customWidth="1"/>
    <col min="290" max="290" width="16.5" style="3" bestFit="1" customWidth="1"/>
    <col min="291" max="291" width="12.1640625" style="3" bestFit="1" customWidth="1"/>
    <col min="292" max="292" width="13.1640625" style="3" bestFit="1" customWidth="1"/>
    <col min="293" max="293" width="14.1640625" style="3" bestFit="1" customWidth="1"/>
    <col min="294" max="294" width="16.1640625" style="3" bestFit="1" customWidth="1"/>
    <col min="295" max="295" width="15.33203125" style="3" bestFit="1" customWidth="1"/>
    <col min="296" max="296" width="14.6640625" style="3" bestFit="1" customWidth="1"/>
    <col min="297" max="297" width="10.6640625" style="3" bestFit="1" customWidth="1"/>
    <col min="298" max="298" width="16.6640625" style="3" bestFit="1" customWidth="1"/>
    <col min="299" max="299" width="12.6640625" style="3" bestFit="1" customWidth="1"/>
    <col min="300" max="300" width="18.6640625" style="3" bestFit="1" customWidth="1"/>
    <col min="301" max="301" width="16.1640625" style="3" bestFit="1" customWidth="1"/>
    <col min="302" max="302" width="10.83203125" style="3"/>
    <col min="303" max="303" width="10.6640625" style="3" bestFit="1" customWidth="1"/>
    <col min="304" max="304" width="15.1640625" style="3" bestFit="1" customWidth="1"/>
    <col min="305" max="305" width="16.5" style="3" bestFit="1" customWidth="1"/>
    <col min="306" max="306" width="12.1640625" style="3" bestFit="1" customWidth="1"/>
    <col min="307" max="307" width="13.1640625" style="3" bestFit="1" customWidth="1"/>
    <col min="308" max="308" width="14.1640625" style="3" bestFit="1" customWidth="1"/>
    <col min="309" max="309" width="16.1640625" style="3" bestFit="1" customWidth="1"/>
    <col min="310" max="310" width="15.33203125" style="3" bestFit="1" customWidth="1"/>
    <col min="311" max="311" width="14.6640625" style="3" bestFit="1" customWidth="1"/>
    <col min="312" max="312" width="10.6640625" style="3" bestFit="1" customWidth="1"/>
    <col min="313" max="313" width="16.6640625" style="3" bestFit="1" customWidth="1"/>
    <col min="314" max="314" width="12.6640625" style="3" bestFit="1" customWidth="1"/>
    <col min="315" max="315" width="18.6640625" style="3" bestFit="1" customWidth="1"/>
    <col min="316" max="316" width="16.1640625" style="3" bestFit="1" customWidth="1"/>
    <col min="317" max="317" width="10.83203125" style="3"/>
    <col min="318" max="318" width="10.6640625" style="3" bestFit="1" customWidth="1"/>
    <col min="319" max="319" width="15.1640625" style="3" bestFit="1" customWidth="1"/>
    <col min="320" max="320" width="16.5" style="3" bestFit="1" customWidth="1"/>
    <col min="321" max="321" width="12.1640625" style="3" bestFit="1" customWidth="1"/>
    <col min="322" max="322" width="17.83203125" style="3" bestFit="1" customWidth="1"/>
    <col min="323" max="323" width="14.1640625" style="3" bestFit="1" customWidth="1"/>
    <col min="324" max="324" width="16.1640625" style="3" bestFit="1" customWidth="1"/>
    <col min="325" max="325" width="15.33203125" style="3" bestFit="1" customWidth="1"/>
    <col min="326" max="326" width="14.6640625" style="3" bestFit="1" customWidth="1"/>
    <col min="327" max="327" width="12" style="3" bestFit="1" customWidth="1"/>
    <col min="328" max="328" width="17.1640625" style="3" bestFit="1" customWidth="1"/>
    <col min="329" max="329" width="14" style="3" bestFit="1" customWidth="1"/>
    <col min="330" max="330" width="20" style="3" bestFit="1" customWidth="1"/>
    <col min="331" max="331" width="16.1640625" style="3" bestFit="1" customWidth="1"/>
    <col min="332" max="332" width="10.83203125" style="3"/>
    <col min="333" max="333" width="10.6640625" style="3" bestFit="1" customWidth="1"/>
    <col min="334" max="334" width="15.1640625" style="3" bestFit="1" customWidth="1"/>
    <col min="335" max="335" width="16.5" style="3" bestFit="1" customWidth="1"/>
    <col min="336" max="336" width="12.1640625" style="3" bestFit="1" customWidth="1"/>
    <col min="337" max="337" width="13.1640625" style="3" bestFit="1" customWidth="1"/>
    <col min="338" max="338" width="14.1640625" style="3" bestFit="1" customWidth="1"/>
    <col min="339" max="339" width="16.1640625" style="3" bestFit="1" customWidth="1"/>
    <col min="340" max="340" width="15.33203125" style="3" bestFit="1" customWidth="1"/>
    <col min="341" max="341" width="14.6640625" style="3" bestFit="1" customWidth="1"/>
    <col min="342" max="342" width="12" style="3" bestFit="1" customWidth="1"/>
    <col min="343" max="343" width="18.1640625" style="3" bestFit="1" customWidth="1"/>
    <col min="344" max="344" width="14" style="3" bestFit="1" customWidth="1"/>
    <col min="345" max="345" width="20" style="3" bestFit="1" customWidth="1"/>
    <col min="346" max="346" width="16.1640625" style="3" bestFit="1" customWidth="1"/>
    <col min="347" max="347" width="10.83203125" style="3"/>
    <col min="348" max="348" width="10.6640625" style="3" bestFit="1" customWidth="1"/>
    <col min="349" max="349" width="15.1640625" style="3" bestFit="1" customWidth="1"/>
    <col min="350" max="350" width="16.5" style="3" bestFit="1" customWidth="1"/>
    <col min="351" max="351" width="12.1640625" style="3" bestFit="1" customWidth="1"/>
    <col min="352" max="352" width="13.1640625" style="3" bestFit="1" customWidth="1"/>
    <col min="353" max="353" width="14.1640625" style="3" bestFit="1" customWidth="1"/>
    <col min="354" max="354" width="16.1640625" style="3" bestFit="1" customWidth="1"/>
    <col min="355" max="355" width="15.33203125" style="3" bestFit="1" customWidth="1"/>
    <col min="356" max="356" width="14.6640625" style="3" bestFit="1" customWidth="1"/>
    <col min="357" max="357" width="14" style="3" bestFit="1" customWidth="1"/>
    <col min="358" max="358" width="20" style="3" bestFit="1" customWidth="1"/>
    <col min="359" max="359" width="15.83203125" style="3" bestFit="1" customWidth="1"/>
    <col min="360" max="360" width="22" style="3" bestFit="1" customWidth="1"/>
    <col min="361" max="361" width="16.1640625" style="3" bestFit="1" customWidth="1"/>
    <col min="362" max="362" width="10.83203125" style="3"/>
    <col min="363" max="363" width="10.1640625" style="3" bestFit="1" customWidth="1"/>
    <col min="364" max="364" width="15.1640625" style="3" bestFit="1" customWidth="1"/>
    <col min="365" max="365" width="16.5" style="3" bestFit="1" customWidth="1"/>
    <col min="366" max="366" width="12.1640625" style="3" bestFit="1" customWidth="1"/>
    <col min="367" max="367" width="13.1640625" style="3" bestFit="1" customWidth="1"/>
    <col min="368" max="368" width="14.1640625" style="3" bestFit="1" customWidth="1"/>
    <col min="369" max="369" width="16.1640625" style="3" bestFit="1" customWidth="1"/>
    <col min="370" max="370" width="15.33203125" style="3" bestFit="1" customWidth="1"/>
    <col min="371" max="371" width="14.6640625" style="3" bestFit="1" customWidth="1"/>
    <col min="372" max="372" width="13.1640625" style="3" bestFit="1" customWidth="1"/>
    <col min="373" max="373" width="20" style="3" bestFit="1" customWidth="1"/>
    <col min="374" max="374" width="15.83203125" style="3" bestFit="1" customWidth="1"/>
    <col min="375" max="375" width="22" style="3" bestFit="1" customWidth="1"/>
    <col min="376" max="376" width="16.1640625" style="3" bestFit="1" customWidth="1"/>
    <col min="377" max="377" width="10.83203125" style="3"/>
    <col min="378" max="378" width="10.1640625" style="3" bestFit="1" customWidth="1"/>
    <col min="379" max="379" width="15.1640625" style="3" bestFit="1" customWidth="1"/>
    <col min="380" max="380" width="16.5" style="3" bestFit="1" customWidth="1"/>
    <col min="381" max="381" width="12.1640625" style="3" bestFit="1" customWidth="1"/>
    <col min="382" max="382" width="13.1640625" style="3" bestFit="1" customWidth="1"/>
    <col min="383" max="383" width="14.1640625" style="3" bestFit="1" customWidth="1"/>
    <col min="384" max="384" width="16.1640625" style="3" bestFit="1" customWidth="1"/>
    <col min="385" max="385" width="15.33203125" style="3" bestFit="1" customWidth="1"/>
    <col min="386" max="386" width="14.6640625" style="3" bestFit="1" customWidth="1"/>
    <col min="387" max="387" width="12.5" style="3" bestFit="1" customWidth="1"/>
    <col min="388" max="388" width="18.6640625" style="3" bestFit="1" customWidth="1"/>
    <col min="389" max="389" width="14.5" style="3" bestFit="1" customWidth="1"/>
    <col min="390" max="390" width="20.5" style="3" bestFit="1" customWidth="1"/>
    <col min="391" max="391" width="16.1640625" style="3" bestFit="1" customWidth="1"/>
    <col min="392" max="392" width="10.83203125" style="3"/>
    <col min="393" max="393" width="10.1640625" style="3" bestFit="1" customWidth="1"/>
    <col min="394" max="394" width="15.1640625" style="3" bestFit="1" customWidth="1"/>
    <col min="395" max="395" width="16.5" style="3" bestFit="1" customWidth="1"/>
    <col min="396" max="396" width="12.1640625" style="3" bestFit="1" customWidth="1"/>
    <col min="397" max="397" width="13.1640625" style="3" bestFit="1" customWidth="1"/>
    <col min="398" max="398" width="14.1640625" style="3" bestFit="1" customWidth="1"/>
    <col min="399" max="399" width="16.1640625" style="3" bestFit="1" customWidth="1"/>
    <col min="400" max="400" width="15.33203125" style="3" bestFit="1" customWidth="1"/>
    <col min="401" max="401" width="14.6640625" style="3" bestFit="1" customWidth="1"/>
    <col min="402" max="402" width="12.5" style="3" bestFit="1" customWidth="1"/>
    <col min="403" max="403" width="18.6640625" style="3" bestFit="1" customWidth="1"/>
    <col min="404" max="404" width="14.5" style="3" bestFit="1" customWidth="1"/>
    <col min="405" max="405" width="20.5" style="3" bestFit="1" customWidth="1"/>
    <col min="406" max="406" width="16.1640625" style="3" bestFit="1" customWidth="1"/>
    <col min="407" max="16384" width="10.83203125" style="3"/>
  </cols>
  <sheetData>
    <row r="1" spans="1:406" ht="16" customHeight="1" x14ac:dyDescent="0.2">
      <c r="R1" s="26" t="s">
        <v>24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G1" s="26" t="s">
        <v>87</v>
      </c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V1" s="26" t="s">
        <v>88</v>
      </c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K1" s="26" t="s">
        <v>89</v>
      </c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Z1" s="26" t="s">
        <v>90</v>
      </c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O1" s="26" t="s">
        <v>91</v>
      </c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D1" s="26" t="s">
        <v>92</v>
      </c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S1" s="26" t="s">
        <v>93</v>
      </c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H1" s="26" t="s">
        <v>94</v>
      </c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W1" s="26" t="s">
        <v>95</v>
      </c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L1" s="26" t="s">
        <v>96</v>
      </c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GA1" s="26" t="s">
        <v>97</v>
      </c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P1" s="26" t="s">
        <v>98</v>
      </c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E1" s="26" t="s">
        <v>99</v>
      </c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T1" s="26" t="s">
        <v>100</v>
      </c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I1" s="26" t="s">
        <v>101</v>
      </c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X1" s="26" t="s">
        <v>102</v>
      </c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M1" s="26" t="s">
        <v>103</v>
      </c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B1" s="26" t="s">
        <v>104</v>
      </c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Q1" s="26" t="s">
        <v>105</v>
      </c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F1" s="26" t="s">
        <v>106</v>
      </c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U1" s="26" t="s">
        <v>107</v>
      </c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J1" s="26" t="s">
        <v>108</v>
      </c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Y1" s="26" t="s">
        <v>109</v>
      </c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N1" s="26" t="s">
        <v>110</v>
      </c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C1" s="26" t="s">
        <v>111</v>
      </c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</row>
    <row r="2" spans="1:406" ht="16" customHeight="1" x14ac:dyDescent="0.2">
      <c r="A2" s="4" t="s">
        <v>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30</v>
      </c>
      <c r="P2" s="4" t="s">
        <v>3</v>
      </c>
      <c r="R2" s="4" t="s">
        <v>0</v>
      </c>
      <c r="S2" s="4" t="s">
        <v>4</v>
      </c>
      <c r="T2" s="4" t="s">
        <v>8</v>
      </c>
      <c r="U2" s="4" t="s">
        <v>5</v>
      </c>
      <c r="V2" s="4" t="s">
        <v>6</v>
      </c>
      <c r="W2" s="4" t="s">
        <v>14</v>
      </c>
      <c r="X2" s="4" t="s">
        <v>7</v>
      </c>
      <c r="Y2" s="4" t="s">
        <v>9</v>
      </c>
      <c r="Z2" s="4" t="s">
        <v>2</v>
      </c>
      <c r="AA2" s="4" t="s">
        <v>25</v>
      </c>
      <c r="AB2" s="4" t="s">
        <v>28</v>
      </c>
      <c r="AC2" s="4" t="s">
        <v>26</v>
      </c>
      <c r="AD2" s="4" t="s">
        <v>29</v>
      </c>
      <c r="AE2" s="4" t="s">
        <v>31</v>
      </c>
      <c r="AG2" s="4" t="s">
        <v>0</v>
      </c>
      <c r="AH2" s="4" t="s">
        <v>4</v>
      </c>
      <c r="AI2" s="4" t="s">
        <v>8</v>
      </c>
      <c r="AJ2" s="4" t="s">
        <v>5</v>
      </c>
      <c r="AK2" s="4" t="s">
        <v>6</v>
      </c>
      <c r="AL2" s="4" t="s">
        <v>14</v>
      </c>
      <c r="AM2" s="4" t="s">
        <v>7</v>
      </c>
      <c r="AN2" s="4" t="s">
        <v>9</v>
      </c>
      <c r="AO2" s="4" t="s">
        <v>2</v>
      </c>
      <c r="AP2" s="4" t="s">
        <v>25</v>
      </c>
      <c r="AQ2" s="4" t="s">
        <v>28</v>
      </c>
      <c r="AR2" s="4" t="s">
        <v>26</v>
      </c>
      <c r="AS2" s="4" t="s">
        <v>29</v>
      </c>
      <c r="AT2" s="4" t="s">
        <v>27</v>
      </c>
      <c r="AV2" s="4" t="s">
        <v>0</v>
      </c>
      <c r="AW2" s="4" t="s">
        <v>4</v>
      </c>
      <c r="AX2" s="4" t="s">
        <v>8</v>
      </c>
      <c r="AY2" s="4" t="s">
        <v>5</v>
      </c>
      <c r="AZ2" s="4" t="s">
        <v>6</v>
      </c>
      <c r="BA2" s="4" t="s">
        <v>14</v>
      </c>
      <c r="BB2" s="4" t="s">
        <v>7</v>
      </c>
      <c r="BC2" s="4" t="s">
        <v>9</v>
      </c>
      <c r="BD2" s="4" t="s">
        <v>2</v>
      </c>
      <c r="BE2" s="4" t="s">
        <v>36</v>
      </c>
      <c r="BF2" s="4" t="s">
        <v>37</v>
      </c>
      <c r="BG2" s="4" t="s">
        <v>38</v>
      </c>
      <c r="BH2" s="4" t="s">
        <v>39</v>
      </c>
      <c r="BI2" s="4" t="s">
        <v>27</v>
      </c>
      <c r="BK2" s="4" t="s">
        <v>0</v>
      </c>
      <c r="BL2" s="4" t="s">
        <v>4</v>
      </c>
      <c r="BM2" s="4" t="s">
        <v>8</v>
      </c>
      <c r="BN2" s="4" t="s">
        <v>5</v>
      </c>
      <c r="BO2" s="4" t="s">
        <v>6</v>
      </c>
      <c r="BP2" s="4" t="s">
        <v>14</v>
      </c>
      <c r="BQ2" s="4" t="s">
        <v>7</v>
      </c>
      <c r="BR2" s="4" t="s">
        <v>9</v>
      </c>
      <c r="BS2" s="4" t="s">
        <v>2</v>
      </c>
      <c r="BT2" s="4" t="s">
        <v>36</v>
      </c>
      <c r="BU2" s="4" t="s">
        <v>37</v>
      </c>
      <c r="BV2" s="4" t="s">
        <v>38</v>
      </c>
      <c r="BW2" s="4" t="s">
        <v>39</v>
      </c>
      <c r="BX2" s="4" t="s">
        <v>31</v>
      </c>
      <c r="BZ2" s="4" t="s">
        <v>0</v>
      </c>
      <c r="CA2" s="4" t="s">
        <v>4</v>
      </c>
      <c r="CB2" s="4" t="s">
        <v>8</v>
      </c>
      <c r="CC2" s="4" t="s">
        <v>5</v>
      </c>
      <c r="CD2" s="4" t="s">
        <v>6</v>
      </c>
      <c r="CE2" s="4" t="s">
        <v>14</v>
      </c>
      <c r="CF2" s="4" t="s">
        <v>7</v>
      </c>
      <c r="CG2" s="4" t="s">
        <v>9</v>
      </c>
      <c r="CH2" s="4" t="s">
        <v>2</v>
      </c>
      <c r="CI2" s="4" t="s">
        <v>40</v>
      </c>
      <c r="CJ2" s="4" t="s">
        <v>41</v>
      </c>
      <c r="CK2" s="4" t="s">
        <v>42</v>
      </c>
      <c r="CL2" s="4" t="s">
        <v>43</v>
      </c>
      <c r="CM2" s="4" t="s">
        <v>31</v>
      </c>
      <c r="CO2" s="4" t="s">
        <v>0</v>
      </c>
      <c r="CP2" s="4" t="s">
        <v>4</v>
      </c>
      <c r="CQ2" s="4" t="s">
        <v>8</v>
      </c>
      <c r="CR2" s="4" t="s">
        <v>5</v>
      </c>
      <c r="CS2" s="4" t="s">
        <v>6</v>
      </c>
      <c r="CT2" s="4" t="s">
        <v>14</v>
      </c>
      <c r="CU2" s="4" t="s">
        <v>7</v>
      </c>
      <c r="CV2" s="4" t="s">
        <v>9</v>
      </c>
      <c r="CW2" s="4" t="s">
        <v>2</v>
      </c>
      <c r="CX2" s="4" t="s">
        <v>40</v>
      </c>
      <c r="CY2" s="4" t="s">
        <v>41</v>
      </c>
      <c r="CZ2" s="4" t="s">
        <v>42</v>
      </c>
      <c r="DA2" s="4" t="s">
        <v>43</v>
      </c>
      <c r="DB2" s="4" t="s">
        <v>31</v>
      </c>
      <c r="DD2" s="4" t="s">
        <v>0</v>
      </c>
      <c r="DE2" s="4" t="s">
        <v>4</v>
      </c>
      <c r="DF2" s="4" t="s">
        <v>8</v>
      </c>
      <c r="DG2" s="4" t="s">
        <v>5</v>
      </c>
      <c r="DH2" s="4" t="s">
        <v>6</v>
      </c>
      <c r="DI2" s="4" t="s">
        <v>14</v>
      </c>
      <c r="DJ2" s="4" t="s">
        <v>7</v>
      </c>
      <c r="DK2" s="4" t="s">
        <v>9</v>
      </c>
      <c r="DL2" s="4" t="s">
        <v>2</v>
      </c>
      <c r="DM2" s="4" t="s">
        <v>44</v>
      </c>
      <c r="DN2" s="4" t="s">
        <v>45</v>
      </c>
      <c r="DO2" s="4" t="s">
        <v>46</v>
      </c>
      <c r="DP2" s="4" t="s">
        <v>47</v>
      </c>
      <c r="DQ2" s="4" t="s">
        <v>31</v>
      </c>
      <c r="DS2" s="4" t="s">
        <v>0</v>
      </c>
      <c r="DT2" s="4" t="s">
        <v>4</v>
      </c>
      <c r="DU2" s="4" t="s">
        <v>8</v>
      </c>
      <c r="DV2" s="4" t="s">
        <v>5</v>
      </c>
      <c r="DW2" s="4" t="s">
        <v>6</v>
      </c>
      <c r="DX2" s="4" t="s">
        <v>14</v>
      </c>
      <c r="DY2" s="4" t="s">
        <v>7</v>
      </c>
      <c r="DZ2" s="4" t="s">
        <v>9</v>
      </c>
      <c r="EA2" s="4" t="s">
        <v>2</v>
      </c>
      <c r="EB2" s="4" t="s">
        <v>44</v>
      </c>
      <c r="EC2" s="4" t="s">
        <v>45</v>
      </c>
      <c r="ED2" s="4" t="s">
        <v>46</v>
      </c>
      <c r="EE2" s="4" t="s">
        <v>48</v>
      </c>
      <c r="EF2" s="4" t="s">
        <v>31</v>
      </c>
      <c r="EH2" s="4" t="s">
        <v>0</v>
      </c>
      <c r="EI2" s="4" t="s">
        <v>4</v>
      </c>
      <c r="EJ2" s="4" t="s">
        <v>8</v>
      </c>
      <c r="EK2" s="4" t="s">
        <v>5</v>
      </c>
      <c r="EL2" s="4" t="s">
        <v>6</v>
      </c>
      <c r="EM2" s="4" t="s">
        <v>14</v>
      </c>
      <c r="EN2" s="4" t="s">
        <v>7</v>
      </c>
      <c r="EO2" s="4" t="s">
        <v>9</v>
      </c>
      <c r="EP2" s="4" t="s">
        <v>2</v>
      </c>
      <c r="EQ2" s="4" t="s">
        <v>49</v>
      </c>
      <c r="ER2" s="4" t="s">
        <v>50</v>
      </c>
      <c r="ES2" s="4" t="s">
        <v>51</v>
      </c>
      <c r="ET2" s="4" t="s">
        <v>52</v>
      </c>
      <c r="EU2" s="4" t="s">
        <v>31</v>
      </c>
      <c r="EW2" s="4" t="s">
        <v>0</v>
      </c>
      <c r="EX2" s="4" t="s">
        <v>4</v>
      </c>
      <c r="EY2" s="4" t="s">
        <v>8</v>
      </c>
      <c r="EZ2" s="4" t="s">
        <v>5</v>
      </c>
      <c r="FA2" s="4" t="s">
        <v>6</v>
      </c>
      <c r="FB2" s="4" t="s">
        <v>14</v>
      </c>
      <c r="FC2" s="4" t="s">
        <v>7</v>
      </c>
      <c r="FD2" s="4" t="s">
        <v>9</v>
      </c>
      <c r="FE2" s="4" t="s">
        <v>2</v>
      </c>
      <c r="FF2" s="4" t="s">
        <v>49</v>
      </c>
      <c r="FG2" s="4" t="s">
        <v>50</v>
      </c>
      <c r="FH2" s="4" t="s">
        <v>51</v>
      </c>
      <c r="FI2" s="4" t="s">
        <v>52</v>
      </c>
      <c r="FJ2" s="4" t="s">
        <v>31</v>
      </c>
      <c r="FL2" s="4" t="s">
        <v>0</v>
      </c>
      <c r="FM2" s="4" t="s">
        <v>4</v>
      </c>
      <c r="FN2" s="4" t="s">
        <v>8</v>
      </c>
      <c r="FO2" s="4" t="s">
        <v>5</v>
      </c>
      <c r="FP2" s="4" t="s">
        <v>6</v>
      </c>
      <c r="FQ2" s="4" t="s">
        <v>14</v>
      </c>
      <c r="FR2" s="4" t="s">
        <v>7</v>
      </c>
      <c r="FS2" s="4" t="s">
        <v>9</v>
      </c>
      <c r="FT2" s="4" t="s">
        <v>2</v>
      </c>
      <c r="FU2" s="4" t="s">
        <v>53</v>
      </c>
      <c r="FV2" s="4" t="s">
        <v>54</v>
      </c>
      <c r="FW2" s="4" t="s">
        <v>55</v>
      </c>
      <c r="FX2" s="4" t="s">
        <v>56</v>
      </c>
      <c r="FY2" s="4" t="s">
        <v>31</v>
      </c>
      <c r="GA2" s="4" t="s">
        <v>0</v>
      </c>
      <c r="GB2" s="4" t="s">
        <v>4</v>
      </c>
      <c r="GC2" s="4" t="s">
        <v>8</v>
      </c>
      <c r="GD2" s="4" t="s">
        <v>5</v>
      </c>
      <c r="GE2" s="4" t="s">
        <v>6</v>
      </c>
      <c r="GF2" s="4" t="s">
        <v>14</v>
      </c>
      <c r="GG2" s="4" t="s">
        <v>7</v>
      </c>
      <c r="GH2" s="4" t="s">
        <v>9</v>
      </c>
      <c r="GI2" s="4" t="s">
        <v>2</v>
      </c>
      <c r="GJ2" s="4" t="s">
        <v>53</v>
      </c>
      <c r="GK2" s="4" t="s">
        <v>54</v>
      </c>
      <c r="GL2" s="4" t="s">
        <v>55</v>
      </c>
      <c r="GM2" s="4" t="s">
        <v>56</v>
      </c>
      <c r="GN2" s="4" t="s">
        <v>31</v>
      </c>
      <c r="GP2" s="4" t="s">
        <v>0</v>
      </c>
      <c r="GQ2" s="4" t="s">
        <v>4</v>
      </c>
      <c r="GR2" s="4" t="s">
        <v>8</v>
      </c>
      <c r="GS2" s="4" t="s">
        <v>5</v>
      </c>
      <c r="GT2" s="4" t="s">
        <v>6</v>
      </c>
      <c r="GU2" s="4" t="s">
        <v>14</v>
      </c>
      <c r="GV2" s="4" t="s">
        <v>7</v>
      </c>
      <c r="GW2" s="4" t="s">
        <v>9</v>
      </c>
      <c r="GX2" s="4" t="s">
        <v>2</v>
      </c>
      <c r="GY2" s="4" t="s">
        <v>57</v>
      </c>
      <c r="GZ2" s="4" t="s">
        <v>58</v>
      </c>
      <c r="HA2" s="4" t="s">
        <v>59</v>
      </c>
      <c r="HB2" s="4" t="s">
        <v>60</v>
      </c>
      <c r="HC2" s="4" t="s">
        <v>31</v>
      </c>
      <c r="HE2" s="4" t="s">
        <v>0</v>
      </c>
      <c r="HF2" s="4" t="s">
        <v>4</v>
      </c>
      <c r="HG2" s="4" t="s">
        <v>8</v>
      </c>
      <c r="HH2" s="4" t="s">
        <v>5</v>
      </c>
      <c r="HI2" s="4" t="s">
        <v>6</v>
      </c>
      <c r="HJ2" s="4" t="s">
        <v>14</v>
      </c>
      <c r="HK2" s="4" t="s">
        <v>7</v>
      </c>
      <c r="HL2" s="4" t="s">
        <v>9</v>
      </c>
      <c r="HM2" s="4" t="s">
        <v>2</v>
      </c>
      <c r="HN2" s="4" t="s">
        <v>57</v>
      </c>
      <c r="HO2" s="4" t="s">
        <v>58</v>
      </c>
      <c r="HP2" s="4" t="s">
        <v>59</v>
      </c>
      <c r="HQ2" s="4" t="s">
        <v>60</v>
      </c>
      <c r="HR2" s="4" t="s">
        <v>31</v>
      </c>
      <c r="HT2" s="4" t="s">
        <v>0</v>
      </c>
      <c r="HU2" s="4" t="s">
        <v>4</v>
      </c>
      <c r="HV2" s="4" t="s">
        <v>8</v>
      </c>
      <c r="HW2" s="4" t="s">
        <v>5</v>
      </c>
      <c r="HX2" s="4" t="s">
        <v>6</v>
      </c>
      <c r="HY2" s="4" t="s">
        <v>14</v>
      </c>
      <c r="HZ2" s="4" t="s">
        <v>7</v>
      </c>
      <c r="IA2" s="4" t="s">
        <v>9</v>
      </c>
      <c r="IB2" s="4" t="s">
        <v>2</v>
      </c>
      <c r="IC2" s="4" t="s">
        <v>61</v>
      </c>
      <c r="ID2" s="4" t="s">
        <v>62</v>
      </c>
      <c r="IE2" s="4" t="s">
        <v>63</v>
      </c>
      <c r="IF2" s="4" t="s">
        <v>64</v>
      </c>
      <c r="IG2" s="4" t="s">
        <v>31</v>
      </c>
      <c r="II2" s="4" t="s">
        <v>0</v>
      </c>
      <c r="IJ2" s="4" t="s">
        <v>4</v>
      </c>
      <c r="IK2" s="4" t="s">
        <v>8</v>
      </c>
      <c r="IL2" s="4" t="s">
        <v>5</v>
      </c>
      <c r="IM2" s="4" t="s">
        <v>6</v>
      </c>
      <c r="IN2" s="4" t="s">
        <v>14</v>
      </c>
      <c r="IO2" s="4" t="s">
        <v>7</v>
      </c>
      <c r="IP2" s="4" t="s">
        <v>9</v>
      </c>
      <c r="IQ2" s="4" t="s">
        <v>2</v>
      </c>
      <c r="IR2" s="4" t="s">
        <v>61</v>
      </c>
      <c r="IS2" s="4" t="s">
        <v>62</v>
      </c>
      <c r="IT2" s="4" t="s">
        <v>63</v>
      </c>
      <c r="IU2" s="4" t="s">
        <v>64</v>
      </c>
      <c r="IV2" s="4" t="s">
        <v>31</v>
      </c>
      <c r="IX2" s="4" t="s">
        <v>0</v>
      </c>
      <c r="IY2" s="4" t="s">
        <v>4</v>
      </c>
      <c r="IZ2" s="4" t="s">
        <v>8</v>
      </c>
      <c r="JA2" s="4" t="s">
        <v>5</v>
      </c>
      <c r="JB2" s="4" t="s">
        <v>6</v>
      </c>
      <c r="JC2" s="4" t="s">
        <v>14</v>
      </c>
      <c r="JD2" s="4" t="s">
        <v>7</v>
      </c>
      <c r="JE2" s="4" t="s">
        <v>9</v>
      </c>
      <c r="JF2" s="4" t="s">
        <v>2</v>
      </c>
      <c r="JG2" s="4" t="s">
        <v>65</v>
      </c>
      <c r="JH2" s="4" t="s">
        <v>66</v>
      </c>
      <c r="JI2" s="4" t="s">
        <v>67</v>
      </c>
      <c r="JJ2" s="4" t="s">
        <v>68</v>
      </c>
      <c r="JK2" s="4" t="s">
        <v>31</v>
      </c>
      <c r="JM2" s="4" t="s">
        <v>0</v>
      </c>
      <c r="JN2" s="4" t="s">
        <v>4</v>
      </c>
      <c r="JO2" s="4" t="s">
        <v>8</v>
      </c>
      <c r="JP2" s="4" t="s">
        <v>5</v>
      </c>
      <c r="JQ2" s="4" t="s">
        <v>6</v>
      </c>
      <c r="JR2" s="4" t="s">
        <v>14</v>
      </c>
      <c r="JS2" s="4" t="s">
        <v>7</v>
      </c>
      <c r="JT2" s="4" t="s">
        <v>9</v>
      </c>
      <c r="JU2" s="4" t="s">
        <v>2</v>
      </c>
      <c r="JV2" s="4" t="s">
        <v>65</v>
      </c>
      <c r="JW2" s="4" t="s">
        <v>66</v>
      </c>
      <c r="JX2" s="4" t="s">
        <v>67</v>
      </c>
      <c r="JY2" s="4" t="s">
        <v>68</v>
      </c>
      <c r="JZ2" s="4" t="s">
        <v>31</v>
      </c>
      <c r="KB2" s="4" t="s">
        <v>0</v>
      </c>
      <c r="KC2" s="4" t="s">
        <v>4</v>
      </c>
      <c r="KD2" s="4" t="s">
        <v>8</v>
      </c>
      <c r="KE2" s="4" t="s">
        <v>5</v>
      </c>
      <c r="KF2" s="4" t="s">
        <v>6</v>
      </c>
      <c r="KG2" s="4" t="s">
        <v>14</v>
      </c>
      <c r="KH2" s="4" t="s">
        <v>7</v>
      </c>
      <c r="KI2" s="4" t="s">
        <v>9</v>
      </c>
      <c r="KJ2" s="4" t="s">
        <v>2</v>
      </c>
      <c r="KK2" s="4" t="s">
        <v>69</v>
      </c>
      <c r="KL2" s="4" t="s">
        <v>70</v>
      </c>
      <c r="KM2" s="4" t="s">
        <v>71</v>
      </c>
      <c r="KN2" s="4" t="s">
        <v>72</v>
      </c>
      <c r="KO2" s="4" t="s">
        <v>31</v>
      </c>
      <c r="KQ2" s="4" t="s">
        <v>0</v>
      </c>
      <c r="KR2" s="4" t="s">
        <v>4</v>
      </c>
      <c r="KS2" s="4" t="s">
        <v>8</v>
      </c>
      <c r="KT2" s="4" t="s">
        <v>5</v>
      </c>
      <c r="KU2" s="4" t="s">
        <v>6</v>
      </c>
      <c r="KV2" s="4" t="s">
        <v>14</v>
      </c>
      <c r="KW2" s="4" t="s">
        <v>7</v>
      </c>
      <c r="KX2" s="4" t="s">
        <v>9</v>
      </c>
      <c r="KY2" s="4" t="s">
        <v>2</v>
      </c>
      <c r="KZ2" s="4" t="s">
        <v>69</v>
      </c>
      <c r="LA2" s="4" t="s">
        <v>70</v>
      </c>
      <c r="LB2" s="4" t="s">
        <v>71</v>
      </c>
      <c r="LC2" s="4" t="s">
        <v>72</v>
      </c>
      <c r="LD2" s="4" t="s">
        <v>31</v>
      </c>
      <c r="LF2" s="4" t="s">
        <v>0</v>
      </c>
      <c r="LG2" s="4" t="s">
        <v>4</v>
      </c>
      <c r="LH2" s="4" t="s">
        <v>8</v>
      </c>
      <c r="LI2" s="4" t="s">
        <v>5</v>
      </c>
      <c r="LJ2" s="4" t="s">
        <v>6</v>
      </c>
      <c r="LK2" s="4" t="s">
        <v>14</v>
      </c>
      <c r="LL2" s="4" t="s">
        <v>7</v>
      </c>
      <c r="LM2" s="4" t="s">
        <v>9</v>
      </c>
      <c r="LN2" s="4" t="s">
        <v>2</v>
      </c>
      <c r="LO2" s="4" t="s">
        <v>74</v>
      </c>
      <c r="LP2" s="4" t="s">
        <v>73</v>
      </c>
      <c r="LQ2" s="4" t="s">
        <v>75</v>
      </c>
      <c r="LR2" s="4" t="s">
        <v>76</v>
      </c>
      <c r="LS2" s="4" t="s">
        <v>31</v>
      </c>
      <c r="LU2" s="4" t="s">
        <v>0</v>
      </c>
      <c r="LV2" s="4" t="s">
        <v>4</v>
      </c>
      <c r="LW2" s="4" t="s">
        <v>8</v>
      </c>
      <c r="LX2" s="4" t="s">
        <v>5</v>
      </c>
      <c r="LY2" s="4" t="s">
        <v>6</v>
      </c>
      <c r="LZ2" s="4" t="s">
        <v>14</v>
      </c>
      <c r="MA2" s="4" t="s">
        <v>7</v>
      </c>
      <c r="MB2" s="4" t="s">
        <v>9</v>
      </c>
      <c r="MC2" s="4" t="s">
        <v>2</v>
      </c>
      <c r="MD2" s="4" t="s">
        <v>74</v>
      </c>
      <c r="ME2" s="4" t="s">
        <v>77</v>
      </c>
      <c r="MF2" s="4" t="s">
        <v>75</v>
      </c>
      <c r="MG2" s="4" t="s">
        <v>76</v>
      </c>
      <c r="MH2" s="4" t="s">
        <v>31</v>
      </c>
      <c r="MJ2" s="4" t="s">
        <v>0</v>
      </c>
      <c r="MK2" s="4" t="s">
        <v>4</v>
      </c>
      <c r="ML2" s="4" t="s">
        <v>8</v>
      </c>
      <c r="MM2" s="4" t="s">
        <v>5</v>
      </c>
      <c r="MN2" s="4" t="s">
        <v>6</v>
      </c>
      <c r="MO2" s="4" t="s">
        <v>14</v>
      </c>
      <c r="MP2" s="4" t="s">
        <v>7</v>
      </c>
      <c r="MQ2" s="4" t="s">
        <v>9</v>
      </c>
      <c r="MR2" s="4" t="s">
        <v>2</v>
      </c>
      <c r="MS2" s="4" t="s">
        <v>78</v>
      </c>
      <c r="MT2" s="4" t="s">
        <v>79</v>
      </c>
      <c r="MU2" s="4" t="s">
        <v>80</v>
      </c>
      <c r="MV2" s="4" t="s">
        <v>81</v>
      </c>
      <c r="MW2" s="4" t="s">
        <v>31</v>
      </c>
      <c r="MY2" s="4" t="s">
        <v>0</v>
      </c>
      <c r="MZ2" s="4" t="s">
        <v>4</v>
      </c>
      <c r="NA2" s="4" t="s">
        <v>8</v>
      </c>
      <c r="NB2" s="4" t="s">
        <v>5</v>
      </c>
      <c r="NC2" s="4" t="s">
        <v>6</v>
      </c>
      <c r="ND2" s="4" t="s">
        <v>14</v>
      </c>
      <c r="NE2" s="4" t="s">
        <v>7</v>
      </c>
      <c r="NF2" s="4" t="s">
        <v>9</v>
      </c>
      <c r="NG2" s="4" t="s">
        <v>2</v>
      </c>
      <c r="NH2" s="4" t="s">
        <v>82</v>
      </c>
      <c r="NI2" s="4" t="s">
        <v>79</v>
      </c>
      <c r="NJ2" s="4" t="s">
        <v>80</v>
      </c>
      <c r="NK2" s="4" t="s">
        <v>81</v>
      </c>
      <c r="NL2" s="4" t="s">
        <v>31</v>
      </c>
      <c r="NN2" s="4" t="s">
        <v>0</v>
      </c>
      <c r="NO2" s="4" t="s">
        <v>4</v>
      </c>
      <c r="NP2" s="4" t="s">
        <v>8</v>
      </c>
      <c r="NQ2" s="4" t="s">
        <v>5</v>
      </c>
      <c r="NR2" s="4" t="s">
        <v>6</v>
      </c>
      <c r="NS2" s="4" t="s">
        <v>14</v>
      </c>
      <c r="NT2" s="4" t="s">
        <v>7</v>
      </c>
      <c r="NU2" s="4" t="s">
        <v>9</v>
      </c>
      <c r="NV2" s="4" t="s">
        <v>2</v>
      </c>
      <c r="NW2" s="4" t="s">
        <v>83</v>
      </c>
      <c r="NX2" s="4" t="s">
        <v>84</v>
      </c>
      <c r="NY2" s="4" t="s">
        <v>85</v>
      </c>
      <c r="NZ2" s="4" t="s">
        <v>86</v>
      </c>
      <c r="OA2" s="4" t="s">
        <v>31</v>
      </c>
      <c r="OC2" s="4" t="s">
        <v>0</v>
      </c>
      <c r="OD2" s="4" t="s">
        <v>4</v>
      </c>
      <c r="OE2" s="4" t="s">
        <v>8</v>
      </c>
      <c r="OF2" s="4" t="s">
        <v>5</v>
      </c>
      <c r="OG2" s="4" t="s">
        <v>6</v>
      </c>
      <c r="OH2" s="4" t="s">
        <v>14</v>
      </c>
      <c r="OI2" s="4" t="s">
        <v>7</v>
      </c>
      <c r="OJ2" s="4" t="s">
        <v>9</v>
      </c>
      <c r="OK2" s="4" t="s">
        <v>2</v>
      </c>
      <c r="OL2" s="4" t="s">
        <v>83</v>
      </c>
      <c r="OM2" s="4" t="s">
        <v>84</v>
      </c>
      <c r="ON2" s="4" t="s">
        <v>85</v>
      </c>
      <c r="OO2" s="4" t="s">
        <v>86</v>
      </c>
      <c r="OP2" s="4" t="s">
        <v>31</v>
      </c>
    </row>
    <row r="3" spans="1:406" x14ac:dyDescent="0.2">
      <c r="A3" s="5">
        <v>46054</v>
      </c>
      <c r="B3" s="12">
        <v>188.56</v>
      </c>
      <c r="C3" s="2">
        <v>98.61</v>
      </c>
      <c r="D3" s="2">
        <v>188.6</v>
      </c>
      <c r="E3" s="2">
        <v>449.93</v>
      </c>
      <c r="F3" s="2">
        <v>425.77</v>
      </c>
      <c r="G3" s="2">
        <v>2.5600000000000002E-3</v>
      </c>
      <c r="H3" s="2">
        <v>4.1390000000000002</v>
      </c>
      <c r="I3" s="2">
        <v>621.16</v>
      </c>
      <c r="J3" s="2">
        <v>134.69</v>
      </c>
      <c r="K3" s="2">
        <v>695.49</v>
      </c>
      <c r="L3" s="2">
        <v>61.79</v>
      </c>
      <c r="M3" s="2">
        <v>335.38</v>
      </c>
      <c r="N3" s="2">
        <v>7.5300000000000002E-3</v>
      </c>
      <c r="O3" s="2">
        <v>105.054</v>
      </c>
      <c r="P3" s="7">
        <v>2.9179999999999998E-5</v>
      </c>
      <c r="R3" s="5">
        <v>46054</v>
      </c>
      <c r="S3" s="6">
        <v>841554.52360452199</v>
      </c>
      <c r="T3" s="6">
        <f>S3*P3*O3</f>
        <v>2579.7649591658292</v>
      </c>
      <c r="U3" s="6">
        <v>842801.98250595992</v>
      </c>
      <c r="V3" s="6">
        <f>U3*P3*O3</f>
        <v>2583.589014139885</v>
      </c>
      <c r="W3" s="6">
        <f>T3+V3</f>
        <v>5163.3539733057141</v>
      </c>
      <c r="X3" s="6"/>
      <c r="Y3" s="6">
        <f>S3-U3</f>
        <v>-1247.4589014379308</v>
      </c>
      <c r="Z3" s="6">
        <f>Y3*P3*O3</f>
        <v>-3.8240549740558496</v>
      </c>
      <c r="AA3" s="6">
        <v>13.49200364</v>
      </c>
      <c r="AB3" s="6">
        <f>AA3*B3</f>
        <v>2544.0522063583999</v>
      </c>
      <c r="AC3" s="6">
        <v>13.74367808</v>
      </c>
      <c r="AD3" s="6">
        <f>AC3*B3</f>
        <v>2591.5079387648002</v>
      </c>
      <c r="AE3" s="6">
        <f>(AA3-AC3)*B3</f>
        <v>-47.455732406400074</v>
      </c>
      <c r="AG3" s="5">
        <v>46054</v>
      </c>
      <c r="AH3" s="6">
        <v>801725.93681598816</v>
      </c>
      <c r="AI3" s="6">
        <f>AH3*P3*O3</f>
        <v>2457.6713934036657</v>
      </c>
      <c r="AJ3" s="6">
        <v>822310.13309999497</v>
      </c>
      <c r="AK3" s="6">
        <f>AJ3*P3*O3</f>
        <v>2520.7717473280027</v>
      </c>
      <c r="AL3" s="6">
        <f>AI3+AK3</f>
        <v>4978.4431407316679</v>
      </c>
      <c r="AM3" s="6"/>
      <c r="AN3" s="6">
        <f>AH3-AJ3</f>
        <v>-20584.196284006815</v>
      </c>
      <c r="AO3" s="6">
        <f>AN3*P3*O3</f>
        <v>-63.100353924337107</v>
      </c>
      <c r="AP3" s="6">
        <v>13.15942658</v>
      </c>
      <c r="AQ3" s="6">
        <f>AP3*B3</f>
        <v>2481.3414759247999</v>
      </c>
      <c r="AR3" s="6">
        <v>13.0933025</v>
      </c>
      <c r="AS3" s="6">
        <f>AR3*B3</f>
        <v>2468.8731194000002</v>
      </c>
      <c r="AT3" s="6">
        <f>(AP3-AR3)*B3</f>
        <v>12.468356524799963</v>
      </c>
      <c r="AV3" s="5">
        <v>46054</v>
      </c>
      <c r="AW3" s="6">
        <v>814528.06662458694</v>
      </c>
      <c r="AX3" s="6">
        <f>AW3*P3*O3</f>
        <v>2496.9160114962137</v>
      </c>
      <c r="AY3" s="6">
        <v>839429.382509919</v>
      </c>
      <c r="AZ3" s="6">
        <f>AY3*P3*O3</f>
        <v>2573.250390738749</v>
      </c>
      <c r="BA3" s="6">
        <f>AX3+AZ3</f>
        <v>5070.1664022349632</v>
      </c>
      <c r="BB3" s="6"/>
      <c r="BC3" s="6">
        <f>AW3-AY3</f>
        <v>-24901.315885332064</v>
      </c>
      <c r="BD3" s="6">
        <f>BC3*P3*O3</f>
        <v>-76.334379242535746</v>
      </c>
      <c r="BE3" s="6">
        <v>25.665841589999999</v>
      </c>
      <c r="BF3" s="6">
        <f>BE3*C3</f>
        <v>2530.9086391899</v>
      </c>
      <c r="BG3" s="6">
        <v>25.408932870000001</v>
      </c>
      <c r="BH3" s="6">
        <f>BG3*C3</f>
        <v>2505.5748703107001</v>
      </c>
      <c r="BI3" s="6">
        <f>(BE3-BG3)*C3</f>
        <v>25.333768879199845</v>
      </c>
      <c r="BK3" s="5">
        <v>46054</v>
      </c>
      <c r="BL3" s="6">
        <v>771274.83229886601</v>
      </c>
      <c r="BM3" s="6">
        <f>BL3*P3*O3</f>
        <v>2364.3242718592455</v>
      </c>
      <c r="BN3" s="6">
        <v>786440.71745873196</v>
      </c>
      <c r="BO3" s="6">
        <f>BN3*P3*O3</f>
        <v>2410.8149245891227</v>
      </c>
      <c r="BP3" s="6">
        <f>BM3+BO3</f>
        <v>4775.1391964483682</v>
      </c>
      <c r="BQ3" s="6"/>
      <c r="BR3" s="6">
        <f>BL3-BN3</f>
        <v>-15165.885159865953</v>
      </c>
      <c r="BS3" s="6">
        <f>BR3*P3*O3</f>
        <v>-46.490652729877397</v>
      </c>
      <c r="BT3" s="6">
        <v>24.043968339999999</v>
      </c>
      <c r="BU3" s="6">
        <f>BT3*C3</f>
        <v>2370.9757180073998</v>
      </c>
      <c r="BV3" s="6">
        <v>24.06259773999999</v>
      </c>
      <c r="BW3" s="6">
        <f>BV3*C3</f>
        <v>2372.812763141399</v>
      </c>
      <c r="BX3" s="6">
        <f>(BT3-BV3)*C3</f>
        <v>-1.8370451339991261</v>
      </c>
      <c r="BZ3" s="5">
        <v>46054</v>
      </c>
      <c r="CA3" s="6">
        <v>820152.51969749003</v>
      </c>
      <c r="CB3" s="6">
        <f>CA3*P3*O3</f>
        <v>2514.1576358294774</v>
      </c>
      <c r="CC3" s="6">
        <v>826254.02817955101</v>
      </c>
      <c r="CD3" s="6">
        <f>CC3*P3*O3</f>
        <v>2532.8616619366094</v>
      </c>
      <c r="CE3" s="6">
        <f>CB3+CD3</f>
        <v>5047.0192977660863</v>
      </c>
      <c r="CF3" s="6"/>
      <c r="CG3" s="6">
        <f>CA3-CC3</f>
        <v>-6101.5084820609773</v>
      </c>
      <c r="CH3" s="6">
        <f>CG3*P3*O3</f>
        <v>-18.70402610713198</v>
      </c>
      <c r="CI3" s="6">
        <v>13.20832115</v>
      </c>
      <c r="CJ3" s="6">
        <f>CI3*D3</f>
        <v>2491.0893688900001</v>
      </c>
      <c r="CK3" s="6">
        <v>13.379280270000001</v>
      </c>
      <c r="CL3" s="6">
        <f>CK3*D3</f>
        <v>2523.3322589220002</v>
      </c>
      <c r="CM3" s="6">
        <f>(CI3-CK3)*D3</f>
        <v>-32.242890032000169</v>
      </c>
      <c r="CO3" s="5">
        <v>46054</v>
      </c>
      <c r="CP3" s="6">
        <v>822968.17648482602</v>
      </c>
      <c r="CQ3" s="6">
        <f>CP3*P3*O3</f>
        <v>2522.788963346909</v>
      </c>
      <c r="CR3" s="6">
        <v>841394.68573223404</v>
      </c>
      <c r="CS3" s="6">
        <f>CR3*P3*O3</f>
        <v>2579.2749800491938</v>
      </c>
      <c r="CT3" s="6">
        <f>CQ3+CS3</f>
        <v>5102.0639433961023</v>
      </c>
      <c r="CU3" s="6"/>
      <c r="CV3" s="6">
        <f>CP3-CR3</f>
        <v>-18426.509247408016</v>
      </c>
      <c r="CW3" s="6">
        <f>CV3*P3*O3</f>
        <v>-56.486016702284743</v>
      </c>
      <c r="CX3" s="6">
        <v>13.45179751</v>
      </c>
      <c r="CY3" s="6">
        <f>CX3*D3</f>
        <v>2537.0090103860002</v>
      </c>
      <c r="CZ3" s="6">
        <v>13.42663196</v>
      </c>
      <c r="DA3" s="6">
        <f>CZ3*D3</f>
        <v>2532.262787656</v>
      </c>
      <c r="DB3" s="6">
        <f>(CX3-CZ3)*D3</f>
        <v>4.7462227300001008</v>
      </c>
      <c r="DD3" s="5">
        <v>46054</v>
      </c>
      <c r="DE3" s="6">
        <v>836753.8750915461</v>
      </c>
      <c r="DF3" s="6">
        <f>DE3*P3*O3</f>
        <v>2565.048687709047</v>
      </c>
      <c r="DG3" s="6">
        <v>845718.84202058194</v>
      </c>
      <c r="DH3" s="6">
        <f>DG3*P3*O3</f>
        <v>2592.5305761606096</v>
      </c>
      <c r="DI3" s="6">
        <f>DF3+DH3</f>
        <v>5157.5792638696566</v>
      </c>
      <c r="DJ3" s="6"/>
      <c r="DK3" s="6">
        <f>DE3-DG3</f>
        <v>-8964.9669290358433</v>
      </c>
      <c r="DL3" s="6">
        <f>DK3*P3*O3</f>
        <v>-27.481888451562341</v>
      </c>
      <c r="DM3" s="6">
        <v>5.6892392799999998</v>
      </c>
      <c r="DN3" s="6">
        <f>DM3*E3</f>
        <v>2559.7594292504</v>
      </c>
      <c r="DO3" s="6">
        <v>5.7438476900000008</v>
      </c>
      <c r="DP3" s="6">
        <f>DO3*E3</f>
        <v>2584.3293911617006</v>
      </c>
      <c r="DQ3" s="6">
        <f>(DM3-DO3)*E3</f>
        <v>-24.569961911300474</v>
      </c>
      <c r="DS3" s="5">
        <v>46054</v>
      </c>
      <c r="DT3" s="6">
        <v>822282.74511350307</v>
      </c>
      <c r="DU3" s="6">
        <f>DT3*P3*O3</f>
        <v>2520.687790120392</v>
      </c>
      <c r="DV3" s="6">
        <v>842663.28920879797</v>
      </c>
      <c r="DW3" s="6">
        <f>DV3*P3*O3</f>
        <v>2583.1638532049083</v>
      </c>
      <c r="DX3" s="6">
        <f>DU3+DW3</f>
        <v>5103.8516433253008</v>
      </c>
      <c r="DY3" s="6"/>
      <c r="DZ3" s="6">
        <f>DT3-DV3</f>
        <v>-20380.544095294899</v>
      </c>
      <c r="EA3" s="6">
        <f>DZ3*P3*O3</f>
        <v>-62.476063084515879</v>
      </c>
      <c r="EB3" s="6">
        <v>5.6687764399999994</v>
      </c>
      <c r="EC3" s="6">
        <f>EB3*E3</f>
        <v>2550.5525836491997</v>
      </c>
      <c r="ED3" s="6">
        <v>5.6455876699999994</v>
      </c>
      <c r="EE3" s="6">
        <f>ED3*E3</f>
        <v>2540.1192603630998</v>
      </c>
      <c r="EF3" s="6">
        <f>(EB3-ED3)*E3</f>
        <v>10.433323286099986</v>
      </c>
      <c r="EH3" s="5">
        <v>46054</v>
      </c>
      <c r="EI3" s="6">
        <v>2338214</v>
      </c>
      <c r="EJ3" s="6">
        <f>EI3*P3*O3</f>
        <v>7167.7382451640806</v>
      </c>
      <c r="EK3" s="6">
        <v>2385035</v>
      </c>
      <c r="EL3" s="6">
        <f>EK3*P3*O3</f>
        <v>7311.2668838501995</v>
      </c>
      <c r="EM3" s="6">
        <f>EJ3+EL3</f>
        <v>14479.00512901428</v>
      </c>
      <c r="EN3" s="6"/>
      <c r="EO3" s="6">
        <f>EI3-EK3</f>
        <v>-46821</v>
      </c>
      <c r="EP3" s="6">
        <f>EO3*P3*O3</f>
        <v>-143.52863868611999</v>
      </c>
      <c r="EQ3" s="6">
        <v>16.977360000000001</v>
      </c>
      <c r="ER3" s="6">
        <f>EQ3*F3</f>
        <v>7228.4505672000005</v>
      </c>
      <c r="ES3" s="6">
        <v>16.72719</v>
      </c>
      <c r="ET3" s="6">
        <f>ES3*F3</f>
        <v>7121.9356862999994</v>
      </c>
      <c r="EU3" s="6">
        <f>(EQ3-ES3)*F3</f>
        <v>106.51488090000028</v>
      </c>
      <c r="EW3" s="5">
        <v>46054</v>
      </c>
      <c r="EX3" s="6">
        <v>2222785</v>
      </c>
      <c r="EY3" s="6">
        <f>EX3*P3*O3</f>
        <v>6813.8934482801997</v>
      </c>
      <c r="EZ3" s="6">
        <v>2238490</v>
      </c>
      <c r="FA3" s="6">
        <f>EZ3*P3*O3</f>
        <v>6862.0367444628</v>
      </c>
      <c r="FB3" s="6">
        <f>EY3+FA3</f>
        <v>13675.930192742999</v>
      </c>
      <c r="FC3" s="6"/>
      <c r="FD3" s="6">
        <f>EX3-EZ3</f>
        <v>-15705</v>
      </c>
      <c r="FE3" s="6">
        <f>FD3*P3*O3</f>
        <v>-48.143296182599997</v>
      </c>
      <c r="FF3" s="6">
        <v>15.92422</v>
      </c>
      <c r="FG3" s="6">
        <f>FF3*F3</f>
        <v>6780.0551494000001</v>
      </c>
      <c r="FH3" s="6">
        <v>15.90518</v>
      </c>
      <c r="FI3" s="6">
        <f>FH3*F3</f>
        <v>6771.9484885999991</v>
      </c>
      <c r="FJ3" s="6">
        <f>(FF3-FH3)*F3</f>
        <v>8.1066608000001654</v>
      </c>
      <c r="FL3" s="5">
        <v>46054</v>
      </c>
      <c r="FM3" s="6">
        <v>639626.5</v>
      </c>
      <c r="FN3" s="6">
        <f>FM3*P3*O3</f>
        <v>1960.7595056185799</v>
      </c>
      <c r="FO3" s="6">
        <v>614210.5</v>
      </c>
      <c r="FP3" s="6">
        <f>FO3*P3*O3</f>
        <v>1882.8473747190599</v>
      </c>
      <c r="FQ3" s="6">
        <f>FN3+FP3</f>
        <v>3843.6068803376397</v>
      </c>
      <c r="FR3" s="6"/>
      <c r="FS3" s="6">
        <f>FM3-FO3</f>
        <v>25416</v>
      </c>
      <c r="FT3" s="6">
        <f>FS3*P3*O3</f>
        <v>77.912130899520008</v>
      </c>
      <c r="FU3" s="6">
        <v>699754.5</v>
      </c>
      <c r="FV3" s="6">
        <f>FU3*G3</f>
        <v>1791.3715200000001</v>
      </c>
      <c r="FW3" s="6">
        <v>759130.4</v>
      </c>
      <c r="FX3" s="6">
        <f>FW3*G3</f>
        <v>1943.3738240000002</v>
      </c>
      <c r="FY3" s="6">
        <f>(FU3-FW3)*G3</f>
        <v>-152.00230400000007</v>
      </c>
      <c r="GA3" s="5">
        <v>46054</v>
      </c>
      <c r="GB3" s="6">
        <v>626233.59999999998</v>
      </c>
      <c r="GC3" s="6">
        <f>GB3*P3*O3</f>
        <v>1919.7038958481919</v>
      </c>
      <c r="GD3" s="6">
        <v>613254</v>
      </c>
      <c r="GE3" s="6">
        <f>GD3*P3*O3</f>
        <v>1879.9152471928799</v>
      </c>
      <c r="GF3" s="6">
        <f>GC3+GE3</f>
        <v>3799.6191430410718</v>
      </c>
      <c r="GG3" s="6"/>
      <c r="GH3" s="6">
        <f>GB3-GD3</f>
        <v>12979.599999999977</v>
      </c>
      <c r="GI3" s="6">
        <f>GH3*P3*O3</f>
        <v>39.788648655311931</v>
      </c>
      <c r="GJ3" s="6">
        <v>698789.1</v>
      </c>
      <c r="GK3" s="6">
        <f>GJ3*G3</f>
        <v>1788.9000960000001</v>
      </c>
      <c r="GL3" s="6">
        <v>743332.6</v>
      </c>
      <c r="GM3" s="6">
        <f>GL3*G3</f>
        <v>1902.931456</v>
      </c>
      <c r="GN3" s="6">
        <f>(GJ3-GL3)*G3</f>
        <v>-114.03136000000001</v>
      </c>
      <c r="GO3" s="13"/>
      <c r="GP3" s="5">
        <v>46054</v>
      </c>
      <c r="GQ3" s="6">
        <v>644692.9</v>
      </c>
      <c r="GR3" s="6">
        <f>GQ3*P3*O3</f>
        <v>1976.2904318063881</v>
      </c>
      <c r="GS3" s="6">
        <v>630705.4</v>
      </c>
      <c r="GT3" s="6">
        <f>GS3*P3*O3</f>
        <v>1933.4120901728882</v>
      </c>
      <c r="GU3" s="6">
        <f>GR3+GT3</f>
        <v>3909.7025219792763</v>
      </c>
      <c r="GV3" s="6"/>
      <c r="GW3" s="6">
        <f>GQ3-GS3</f>
        <v>13987.5</v>
      </c>
      <c r="GX3" s="6">
        <f>GW3*P3*O3</f>
        <v>42.8783416335</v>
      </c>
      <c r="GY3" s="6">
        <v>443.91469999999998</v>
      </c>
      <c r="GZ3" s="6">
        <f>GY3*H3</f>
        <v>1837.3629433000001</v>
      </c>
      <c r="HA3" s="6">
        <v>472.4171</v>
      </c>
      <c r="HB3" s="6">
        <f>HA3*H3</f>
        <v>1955.3343769000001</v>
      </c>
      <c r="HC3" s="6">
        <f>(GY3-HA3)*H3</f>
        <v>-117.9714336000001</v>
      </c>
      <c r="HE3" s="5">
        <v>46054</v>
      </c>
      <c r="HF3" s="6">
        <v>640135.30000000005</v>
      </c>
      <c r="HG3" s="6">
        <f>HF3*P3*O3</f>
        <v>1962.3192196649159</v>
      </c>
      <c r="HH3" s="6">
        <v>618652.80000000005</v>
      </c>
      <c r="HI3" s="6">
        <f>HH3*P3*O3</f>
        <v>1896.4651375100159</v>
      </c>
      <c r="HJ3" s="6">
        <f>HG3+HI3</f>
        <v>3858.7843571749318</v>
      </c>
      <c r="HK3" s="6"/>
      <c r="HL3" s="6">
        <f>HF3-HH3</f>
        <v>21482.5</v>
      </c>
      <c r="HM3" s="6">
        <f>HL3*P3*O3</f>
        <v>65.854082154899999</v>
      </c>
      <c r="HN3" s="6">
        <v>435.27069999999998</v>
      </c>
      <c r="HO3" s="6">
        <f>HN3*H3</f>
        <v>1801.5854273</v>
      </c>
      <c r="HP3" s="6">
        <v>469.1121</v>
      </c>
      <c r="HQ3" s="6">
        <f>HP3*H3</f>
        <v>1941.6549819000002</v>
      </c>
      <c r="HR3" s="6">
        <f>(HN3-HP3)*H3</f>
        <v>-140.06955460000009</v>
      </c>
      <c r="HT3" s="5">
        <v>46054</v>
      </c>
      <c r="HU3" s="6"/>
      <c r="HV3" s="6">
        <f>HU3*P3*O3</f>
        <v>0</v>
      </c>
      <c r="HW3" s="6"/>
      <c r="HX3" s="6">
        <f>HW3*P3*O3</f>
        <v>0</v>
      </c>
      <c r="HY3" s="6">
        <f>HV3+HX3</f>
        <v>0</v>
      </c>
      <c r="HZ3" s="6"/>
      <c r="IA3" s="6">
        <f>HU3-HW3</f>
        <v>0</v>
      </c>
      <c r="IB3" s="6">
        <f>IA3*P3*O3</f>
        <v>0</v>
      </c>
      <c r="IC3" s="6"/>
      <c r="ID3" s="6">
        <f>IC3*I3</f>
        <v>0</v>
      </c>
      <c r="IE3" s="6"/>
      <c r="IF3" s="6">
        <f>IE3*I3</f>
        <v>0</v>
      </c>
      <c r="IG3" s="6">
        <f>(IC3-IE3)*I3</f>
        <v>0</v>
      </c>
      <c r="II3" s="5">
        <v>46054</v>
      </c>
      <c r="IJ3" s="6"/>
      <c r="IK3" s="6">
        <f>IJ3*P3*O3</f>
        <v>0</v>
      </c>
      <c r="IL3" s="6"/>
      <c r="IM3" s="6">
        <f>IL3*P3*O3</f>
        <v>0</v>
      </c>
      <c r="IN3" s="6">
        <f>IK3+IM3</f>
        <v>0</v>
      </c>
      <c r="IO3" s="6"/>
      <c r="IP3" s="6">
        <f>IJ3-IL3</f>
        <v>0</v>
      </c>
      <c r="IQ3" s="6">
        <f>IP3*P3*O3</f>
        <v>0</v>
      </c>
      <c r="IR3" s="6"/>
      <c r="IS3" s="6">
        <f>IR3*I3</f>
        <v>0</v>
      </c>
      <c r="IT3" s="6"/>
      <c r="IU3" s="6">
        <f>IT3*I3</f>
        <v>0</v>
      </c>
      <c r="IV3" s="6">
        <f>(IR3-IT3)*I3</f>
        <v>0</v>
      </c>
      <c r="IX3" s="5">
        <v>46054</v>
      </c>
      <c r="IY3" s="6">
        <v>834131.6</v>
      </c>
      <c r="IZ3" s="6">
        <f>IY3*P3*O3</f>
        <v>2557.0101670847516</v>
      </c>
      <c r="JA3" s="6">
        <v>836562.9</v>
      </c>
      <c r="JB3" s="6">
        <f>JA3*P3*O3</f>
        <v>2564.463258202788</v>
      </c>
      <c r="JC3" s="6">
        <f>IZ3+JB3</f>
        <v>5121.4734252875396</v>
      </c>
      <c r="JD3" s="6"/>
      <c r="JE3" s="6">
        <f>IY3-JA3</f>
        <v>-2431.3000000000466</v>
      </c>
      <c r="JF3" s="6">
        <f>JE3*P3*O3</f>
        <v>-7.4530911180361432</v>
      </c>
      <c r="JG3" s="6">
        <v>18.18262</v>
      </c>
      <c r="JH3" s="6">
        <f>JG3*J3</f>
        <v>2449.0170877999999</v>
      </c>
      <c r="JI3" s="6">
        <v>18.49033</v>
      </c>
      <c r="JJ3" s="6">
        <f>JI3*J3</f>
        <v>2490.4625477</v>
      </c>
      <c r="JK3" s="6">
        <f>(JG3-JI3)*J3</f>
        <v>-41.445459900000017</v>
      </c>
      <c r="JM3" s="5">
        <v>46054</v>
      </c>
      <c r="JN3" s="6">
        <v>809606.8</v>
      </c>
      <c r="JO3" s="6">
        <f>JN3*P3*O3</f>
        <v>2481.8299881468961</v>
      </c>
      <c r="JP3" s="6">
        <v>813071.7</v>
      </c>
      <c r="JQ3" s="6">
        <f>JP3*P3*O3</f>
        <v>2492.4515549691237</v>
      </c>
      <c r="JR3" s="6">
        <f>JO3+JQ3</f>
        <v>4974.2815431160197</v>
      </c>
      <c r="JS3" s="6"/>
      <c r="JT3" s="6">
        <f>JN3-JP3</f>
        <v>-3464.8999999999069</v>
      </c>
      <c r="JU3" s="6">
        <f>JT3*P3*O3</f>
        <v>-10.621566822227713</v>
      </c>
      <c r="JV3" s="6">
        <v>17.664729999999999</v>
      </c>
      <c r="JW3" s="6">
        <f>JV3*J3</f>
        <v>2379.2624836999998</v>
      </c>
      <c r="JX3" s="6">
        <v>17.960519999999999</v>
      </c>
      <c r="JY3" s="6">
        <f>JX3*J3</f>
        <v>2419.1024387999996</v>
      </c>
      <c r="JZ3" s="6">
        <f>(JV3-JX3)*J3</f>
        <v>-39.839955100000026</v>
      </c>
      <c r="KB3" s="5">
        <v>46054</v>
      </c>
      <c r="KC3" s="6">
        <v>815146.382061015</v>
      </c>
      <c r="KD3" s="6">
        <f>KC3*P3*O3</f>
        <v>2498.8114424538849</v>
      </c>
      <c r="KE3" s="6">
        <v>848168.88726997795</v>
      </c>
      <c r="KF3" s="6">
        <f>KE3*P3*O3</f>
        <v>2600.0411303855344</v>
      </c>
      <c r="KG3" s="6">
        <f>KD3+KF3</f>
        <v>5098.8525728394197</v>
      </c>
      <c r="KH3" s="6"/>
      <c r="KI3" s="6">
        <f>KC3-KE3</f>
        <v>-33022.505208962946</v>
      </c>
      <c r="KJ3" s="6">
        <f>KI3*P3*O3</f>
        <v>-101.22968793164944</v>
      </c>
      <c r="KK3" s="6">
        <v>3.7638211109999999</v>
      </c>
      <c r="KL3" s="6">
        <f>KK3*K3</f>
        <v>2617.69994448939</v>
      </c>
      <c r="KM3" s="6">
        <v>3.690387941</v>
      </c>
      <c r="KN3" s="6">
        <f>KM3*K3</f>
        <v>2566.6279090860899</v>
      </c>
      <c r="KO3" s="6">
        <f>(KK3-KM3)*K3</f>
        <v>51.072035403299957</v>
      </c>
      <c r="KQ3" s="5">
        <v>46054</v>
      </c>
      <c r="KR3" s="6">
        <v>799795.09631488798</v>
      </c>
      <c r="KS3" s="6">
        <f>KR3*P3*O3</f>
        <v>2451.7524487283504</v>
      </c>
      <c r="KT3" s="6">
        <v>797751.19081560802</v>
      </c>
      <c r="KU3" s="6">
        <f>KT3*P3*O3</f>
        <v>2445.4869060463334</v>
      </c>
      <c r="KV3" s="6">
        <f>KS3+KU3</f>
        <v>4897.2393547746833</v>
      </c>
      <c r="KW3" s="6"/>
      <c r="KX3" s="6">
        <f>KR3-KT3</f>
        <v>2043.9054992799647</v>
      </c>
      <c r="KY3" s="6">
        <f>KX3*P3*O3</f>
        <v>6.2655426820172089</v>
      </c>
      <c r="KZ3" s="6">
        <v>3.5398742190000001</v>
      </c>
      <c r="LA3" s="6">
        <f>KZ3*K3</f>
        <v>2461.9471205723103</v>
      </c>
      <c r="LB3" s="6">
        <v>3.621256824</v>
      </c>
      <c r="LC3" s="6">
        <f>LB3*K3</f>
        <v>2518.5479085237603</v>
      </c>
      <c r="LD3" s="6">
        <f>(KZ3-LB3)*K3</f>
        <v>-56.600787951449959</v>
      </c>
      <c r="LF3" s="5">
        <v>46054</v>
      </c>
      <c r="LG3" s="6">
        <v>833325.27329131193</v>
      </c>
      <c r="LH3" s="6">
        <f>LG3*P3*O3</f>
        <v>2554.5383921368812</v>
      </c>
      <c r="LI3" s="6">
        <v>824084.51549442695</v>
      </c>
      <c r="LJ3" s="6">
        <f>LI3*P3*O3</f>
        <v>2526.2110734761295</v>
      </c>
      <c r="LK3" s="6">
        <f>LH3+LJ3</f>
        <v>5080.7494656130111</v>
      </c>
      <c r="LL3" s="6"/>
      <c r="LM3" s="6">
        <f>LG3-LI3</f>
        <v>9240.7577968849801</v>
      </c>
      <c r="LN3" s="6">
        <f>LM3*P3*O3</f>
        <v>28.327318660751597</v>
      </c>
      <c r="LO3" s="6">
        <v>40.073691029999999</v>
      </c>
      <c r="LP3" s="6">
        <f>LO3*L3</f>
        <v>2476.1533687437</v>
      </c>
      <c r="LQ3" s="6">
        <v>41.338357939999987</v>
      </c>
      <c r="LR3" s="6">
        <f>LQ3*L3</f>
        <v>2554.2971371125991</v>
      </c>
      <c r="LS3" s="6">
        <f>(LO3-LQ3)*L3</f>
        <v>-78.143768368899273</v>
      </c>
      <c r="LU3" s="5">
        <v>46054</v>
      </c>
      <c r="LV3" s="6">
        <v>812761.81699927698</v>
      </c>
      <c r="LW3" s="6">
        <f>LV3*P3*O3</f>
        <v>2491.5016161543667</v>
      </c>
      <c r="LX3" s="6">
        <v>835632.22361667512</v>
      </c>
      <c r="LY3" s="6">
        <f>LX3*P3*O3</f>
        <v>2561.6102923465282</v>
      </c>
      <c r="LZ3" s="6">
        <f>LW3+LY3</f>
        <v>5053.111908500895</v>
      </c>
      <c r="MA3" s="6"/>
      <c r="MB3" s="6">
        <f>LV3-LX3</f>
        <v>-22870.406617398141</v>
      </c>
      <c r="MC3" s="6">
        <f>MB3*P3*O3</f>
        <v>-70.108676192161326</v>
      </c>
      <c r="MD3" s="6">
        <v>40.621065369999997</v>
      </c>
      <c r="ME3" s="6">
        <f>MD3*L3</f>
        <v>2509.9756292122997</v>
      </c>
      <c r="MF3" s="6">
        <v>40.317934540000003</v>
      </c>
      <c r="MG3" s="6">
        <f>MF3*L3</f>
        <v>2491.2451752266002</v>
      </c>
      <c r="MH3" s="6">
        <f>(MD3-MF3)*L3</f>
        <v>18.730453985699601</v>
      </c>
      <c r="MJ3" s="5">
        <v>46054</v>
      </c>
      <c r="MK3" s="6">
        <v>811886.6</v>
      </c>
      <c r="ML3" s="6">
        <f>MK3*P3*O3</f>
        <v>2488.8186596933519</v>
      </c>
      <c r="MM3" s="6">
        <v>821291.5</v>
      </c>
      <c r="MN3" s="6">
        <f>MM3*P3*O3</f>
        <v>2517.6491522923802</v>
      </c>
      <c r="MO3" s="6">
        <f>ML3+MN3</f>
        <v>5006.4678119857326</v>
      </c>
      <c r="MP3" s="6"/>
      <c r="MQ3" s="6">
        <f>MK3-MM3</f>
        <v>-9404.9000000000233</v>
      </c>
      <c r="MR3" s="6">
        <f>MQ3*P3*O3</f>
        <v>-28.830492599028069</v>
      </c>
      <c r="MS3" s="6">
        <v>7.3909960000000003</v>
      </c>
      <c r="MT3" s="6">
        <f>MS3*M3</f>
        <v>2478.7922384799999</v>
      </c>
      <c r="MU3" s="6">
        <v>7.4543730000000004</v>
      </c>
      <c r="MV3" s="6">
        <f>MU3*M3</f>
        <v>2500.0476167400002</v>
      </c>
      <c r="MW3" s="6">
        <f>(MS3-MU3)*M3</f>
        <v>-21.255378260000004</v>
      </c>
      <c r="MY3" s="5">
        <v>46054</v>
      </c>
      <c r="MZ3" s="6">
        <v>776530.8</v>
      </c>
      <c r="NA3" s="6">
        <f>MZ3*P3*O3</f>
        <v>2380.436313232176</v>
      </c>
      <c r="NB3" s="6">
        <v>776992.2</v>
      </c>
      <c r="NC3" s="6">
        <f>NB3*P3*O3</f>
        <v>2381.8507237293838</v>
      </c>
      <c r="ND3" s="6">
        <f>NA3+NC3</f>
        <v>4762.2870369615594</v>
      </c>
      <c r="NE3" s="6"/>
      <c r="NF3" s="6">
        <f>MZ3-NB3</f>
        <v>-461.39999999990687</v>
      </c>
      <c r="NG3" s="6">
        <f>NF3*P3*O3</f>
        <v>-1.4144104972077145</v>
      </c>
      <c r="NH3" s="6">
        <v>6.9911250000000003</v>
      </c>
      <c r="NI3" s="6">
        <f>NH3*M3</f>
        <v>2344.6835025</v>
      </c>
      <c r="NJ3" s="6">
        <v>7.128412</v>
      </c>
      <c r="NK3" s="6">
        <f>NJ3*M3</f>
        <v>2390.7268165599999</v>
      </c>
      <c r="NL3" s="6">
        <f>(NH3-NJ3)*M3</f>
        <v>-46.043314059999901</v>
      </c>
      <c r="NN3" s="5">
        <v>46054</v>
      </c>
      <c r="NO3" s="6">
        <v>815211.2</v>
      </c>
      <c r="NP3" s="6">
        <f>NO3*P3*O3</f>
        <v>2499.0101402720638</v>
      </c>
      <c r="NQ3" s="6">
        <v>813736.5</v>
      </c>
      <c r="NR3" s="6">
        <f>NQ3*P3*O3</f>
        <v>2494.4894832277801</v>
      </c>
      <c r="NS3" s="6">
        <f>NP3+NR3</f>
        <v>4993.4996234998434</v>
      </c>
      <c r="NT3" s="6"/>
      <c r="NU3" s="6">
        <f>NO3-NQ3</f>
        <v>1474.6999999999534</v>
      </c>
      <c r="NV3" s="6">
        <f>NU3*P3*O3</f>
        <v>4.5206570442838565</v>
      </c>
      <c r="NW3" s="6">
        <v>311958.8</v>
      </c>
      <c r="NX3" s="6">
        <f>NW3*N3</f>
        <v>2349.0497639999999</v>
      </c>
      <c r="NY3" s="6">
        <v>325267.09999999998</v>
      </c>
      <c r="NZ3" s="6">
        <f>NY3*N3</f>
        <v>2449.2612629999999</v>
      </c>
      <c r="OA3" s="6">
        <f>(NW3-NY3)*N3</f>
        <v>-100.21149899999992</v>
      </c>
      <c r="OC3" s="5">
        <v>46054</v>
      </c>
      <c r="OD3" s="6">
        <v>800359.2</v>
      </c>
      <c r="OE3" s="6">
        <f>OD3*P3*O3</f>
        <v>2453.4816948786238</v>
      </c>
      <c r="OF3" s="6">
        <v>784214.6</v>
      </c>
      <c r="OG3" s="6">
        <f>OF3*P3*O3</f>
        <v>2403.9908155695121</v>
      </c>
      <c r="OH3" s="6">
        <f>OE3+OG3</f>
        <v>4857.4725104481358</v>
      </c>
      <c r="OI3" s="6"/>
      <c r="OJ3" s="6">
        <f>OD3-OF3</f>
        <v>16144.599999999977</v>
      </c>
      <c r="OK3" s="6">
        <f>OJ3*P3*O3</f>
        <v>49.490879309111932</v>
      </c>
      <c r="OL3" s="6">
        <v>300340.90000000002</v>
      </c>
      <c r="OM3" s="6">
        <f>OL3*N3</f>
        <v>2261.5669770000004</v>
      </c>
      <c r="ON3" s="6">
        <v>319412.8</v>
      </c>
      <c r="OO3" s="6">
        <f>ON3*N3</f>
        <v>2405.1783839999998</v>
      </c>
      <c r="OP3" s="6">
        <f>(OL3-ON3)*N3</f>
        <v>-143.61140699999973</v>
      </c>
    </row>
    <row r="4" spans="1:406" x14ac:dyDescent="0.2">
      <c r="A4" s="5">
        <v>46055</v>
      </c>
      <c r="B4" s="10">
        <v>184.22</v>
      </c>
      <c r="C4" s="2">
        <v>95.8</v>
      </c>
      <c r="D4" s="2">
        <v>185.86</v>
      </c>
      <c r="E4" s="2">
        <v>417.3</v>
      </c>
      <c r="F4" s="2">
        <v>424.92</v>
      </c>
      <c r="G4" s="2">
        <v>2.3999999999999998E-3</v>
      </c>
      <c r="H4" s="2">
        <v>4.2699999999999996</v>
      </c>
      <c r="I4" s="2">
        <v>628.84</v>
      </c>
      <c r="J4" s="2">
        <v>141.84</v>
      </c>
      <c r="K4" s="2">
        <v>685.88</v>
      </c>
      <c r="L4" s="2">
        <v>61.29</v>
      </c>
      <c r="M4" s="2">
        <v>346.71</v>
      </c>
      <c r="N4" s="2">
        <v>7.8100000000000001E-3</v>
      </c>
      <c r="O4" s="2">
        <v>99.596000000000004</v>
      </c>
      <c r="P4" s="7">
        <v>3.0020000000000001E-5</v>
      </c>
      <c r="R4" s="5">
        <v>46055</v>
      </c>
      <c r="S4" s="6">
        <v>866861.57201151294</v>
      </c>
      <c r="T4" s="6">
        <f t="shared" ref="T4:T30" si="0">S4*P4*O4</f>
        <v>2591.8050726842807</v>
      </c>
      <c r="U4" s="6">
        <v>873275.96725140885</v>
      </c>
      <c r="V4" s="6">
        <f t="shared" ref="V4:V30" si="1">U4*P4*O4</f>
        <v>2610.9832928958267</v>
      </c>
      <c r="W4" s="6">
        <f t="shared" ref="W4:W30" si="2">T4+V4</f>
        <v>5202.788365580107</v>
      </c>
      <c r="X4" s="6"/>
      <c r="Y4" s="6">
        <f t="shared" ref="Y4:Y30" si="3">S4-U4</f>
        <v>-6414.3952398959082</v>
      </c>
      <c r="Z4" s="6">
        <f t="shared" ref="Z4:Z30" si="4">Y4*P4*O4</f>
        <v>-19.178220211546439</v>
      </c>
      <c r="AA4" s="6">
        <v>13.937148540000001</v>
      </c>
      <c r="AB4" s="6">
        <f t="shared" ref="AB4:AB30" si="5">AA4*B4</f>
        <v>2567.5015040388002</v>
      </c>
      <c r="AC4" s="6">
        <v>14.115296819999999</v>
      </c>
      <c r="AD4" s="6">
        <f t="shared" ref="AD4:AD30" si="6">AC4*B4</f>
        <v>2600.3199801803999</v>
      </c>
      <c r="AE4" s="6">
        <f t="shared" ref="AE4:AE30" si="7">(AA4-AC4)*B4</f>
        <v>-32.818476141599724</v>
      </c>
      <c r="AG4" s="5">
        <v>46055</v>
      </c>
      <c r="AH4" s="6">
        <v>875710.913352423</v>
      </c>
      <c r="AI4" s="6">
        <f t="shared" ref="AI4:AI30" si="8">AH4*P4*O4</f>
        <v>2618.263469869963</v>
      </c>
      <c r="AJ4" s="6">
        <v>858340.74352074298</v>
      </c>
      <c r="AK4" s="6">
        <f t="shared" ref="AK4:AK30" si="9">AJ4*P4*O4</f>
        <v>2566.3288868445916</v>
      </c>
      <c r="AL4" s="6">
        <f t="shared" ref="AL4:AL30" si="10">AI4+AK4</f>
        <v>5184.5923567145546</v>
      </c>
      <c r="AM4" s="6"/>
      <c r="AN4" s="6">
        <f t="shared" ref="AN4:AN30" si="11">AH4-AJ4</f>
        <v>17370.169831680018</v>
      </c>
      <c r="AO4" s="6">
        <f t="shared" ref="AO4:AO30" si="12">AN4*P4*O4</f>
        <v>51.934583025371211</v>
      </c>
      <c r="AP4" s="6">
        <v>13.6976391</v>
      </c>
      <c r="AQ4" s="6">
        <f t="shared" ref="AQ4:AQ30" si="13">AP4*B4</f>
        <v>2523.3790750019998</v>
      </c>
      <c r="AR4" s="6">
        <v>14.262502899999999</v>
      </c>
      <c r="AS4" s="6">
        <f t="shared" ref="AS4:AS30" si="14">AR4*B4</f>
        <v>2627.4382842380001</v>
      </c>
      <c r="AT4" s="6">
        <f t="shared" ref="AT4:AT30" si="15">(AP4-AR4)*B4</f>
        <v>-104.0592092359999</v>
      </c>
      <c r="AV4" s="5">
        <v>46055</v>
      </c>
      <c r="AW4" s="6">
        <v>896156.02711250202</v>
      </c>
      <c r="AX4" s="6">
        <f t="shared" ref="AX4:AX30" si="16">AW4*P4*O4</f>
        <v>2679.3917414024286</v>
      </c>
      <c r="AY4" s="6">
        <v>893735.84124516393</v>
      </c>
      <c r="AZ4" s="6">
        <f t="shared" ref="AZ4:AZ30" si="17">AY4*P4*O4</f>
        <v>2672.1556956364934</v>
      </c>
      <c r="BA4" s="6">
        <f t="shared" ref="BA4:BA30" si="18">AX4+AZ4</f>
        <v>5351.547437038922</v>
      </c>
      <c r="BB4" s="6"/>
      <c r="BC4" s="6">
        <f>AW4-AY4</f>
        <v>2420.1858673380921</v>
      </c>
      <c r="BD4" s="6">
        <f t="shared" ref="BD4:BD30" si="19">BC4*P4*O4</f>
        <v>7.2360457659350068</v>
      </c>
      <c r="BE4" s="6">
        <v>28.389033340000001</v>
      </c>
      <c r="BF4" s="6">
        <f t="shared" ref="BF4:BF30" si="20">BE4*C4</f>
        <v>2719.6693939719999</v>
      </c>
      <c r="BG4" s="6">
        <v>29.021731429999999</v>
      </c>
      <c r="BH4" s="6">
        <f t="shared" ref="BH4:BH30" si="21">BG4*C4</f>
        <v>2780.2818709939997</v>
      </c>
      <c r="BI4" s="6">
        <f t="shared" ref="BI4:BI30" si="22">(BE4-BG4)*C4</f>
        <v>-60.612477021999815</v>
      </c>
      <c r="BK4" s="5">
        <v>46055</v>
      </c>
      <c r="BL4" s="6">
        <v>848155.56360462296</v>
      </c>
      <c r="BM4" s="6">
        <f t="shared" ref="BM4:BM30" si="23">BL4*P4*O4</f>
        <v>2535.8765034132362</v>
      </c>
      <c r="BN4" s="6">
        <v>854978.05213094398</v>
      </c>
      <c r="BO4" s="6">
        <f t="shared" ref="BO4:BO30" si="24">BN4*P4*O4</f>
        <v>2556.2748702826057</v>
      </c>
      <c r="BP4" s="6">
        <f t="shared" ref="BP4:BP30" si="25">BM4+BO4</f>
        <v>5092.1513736958423</v>
      </c>
      <c r="BQ4" s="6"/>
      <c r="BR4" s="6">
        <f t="shared" ref="BR4:BR30" si="26">BL4-BN4</f>
        <v>-6822.4885263210163</v>
      </c>
      <c r="BS4" s="6">
        <f t="shared" ref="BS4:BS30" si="27">BR4*P4*O4</f>
        <v>-20.39836686936939</v>
      </c>
      <c r="BT4" s="6">
        <v>27.152495380000001</v>
      </c>
      <c r="BU4" s="6">
        <f t="shared" ref="BU4:BU30" si="28">BT4*C4</f>
        <v>2601.2090574039999</v>
      </c>
      <c r="BV4" s="6">
        <v>27.463329080000001</v>
      </c>
      <c r="BW4" s="6">
        <f t="shared" ref="BW4:BW30" si="29">BV4*C4</f>
        <v>2630.9869258640001</v>
      </c>
      <c r="BX4" s="6">
        <f t="shared" ref="BX4:BX30" si="30">(BT4-BV4)*C4</f>
        <v>-29.777868459999986</v>
      </c>
      <c r="BZ4" s="5">
        <v>46055</v>
      </c>
      <c r="CA4" s="6">
        <v>875326.13710491895</v>
      </c>
      <c r="CB4" s="6">
        <f t="shared" ref="CB4:CB30" si="31">CA4*P4*O4</f>
        <v>2617.1130381720673</v>
      </c>
      <c r="CC4" s="6">
        <v>867345.28016211605</v>
      </c>
      <c r="CD4" s="6">
        <f t="shared" ref="CD4:CD30" si="32">CC4*P4*O4</f>
        <v>2593.2512981012437</v>
      </c>
      <c r="CE4" s="6">
        <f t="shared" ref="CE4:CE30" si="33">CB4+CD4</f>
        <v>5210.364336273311</v>
      </c>
      <c r="CF4" s="6"/>
      <c r="CG4" s="6">
        <f t="shared" ref="CG4:CG30" si="34">CA4-CC4</f>
        <v>7980.8569428029004</v>
      </c>
      <c r="CH4" s="6">
        <f t="shared" ref="CH4:CH30" si="35">CG4*P4*O4</f>
        <v>23.861740070823441</v>
      </c>
      <c r="CI4" s="6">
        <v>13.805881250000001</v>
      </c>
      <c r="CJ4" s="6">
        <f t="shared" ref="CJ4:CJ30" si="36">CI4*D4</f>
        <v>2565.9610891250004</v>
      </c>
      <c r="CK4" s="6">
        <v>14.21270423</v>
      </c>
      <c r="CL4" s="6">
        <f t="shared" ref="CL4:CL30" si="37">CK4*D4</f>
        <v>2641.5732081878</v>
      </c>
      <c r="CM4" s="6">
        <f t="shared" ref="CM4:CM30" si="38">(CI4-CK4)*D4</f>
        <v>-75.612119062799891</v>
      </c>
      <c r="CO4" s="5">
        <v>46055</v>
      </c>
      <c r="CP4" s="6">
        <v>878085.30155316391</v>
      </c>
      <c r="CQ4" s="6">
        <f t="shared" ref="CQ4:CQ30" si="39">CP4*P4*O4</f>
        <v>2625.3625864785372</v>
      </c>
      <c r="CR4" s="6">
        <v>883892.18450127612</v>
      </c>
      <c r="CS4" s="6">
        <f t="shared" ref="CS4:CS30" si="40">CR4*P4*O4</f>
        <v>2642.7244227478245</v>
      </c>
      <c r="CT4" s="6">
        <f t="shared" ref="CT4:CT30" si="41">CQ4+CS4</f>
        <v>5268.0870092263613</v>
      </c>
      <c r="CU4" s="6"/>
      <c r="CV4" s="6">
        <f t="shared" ref="CV4:CV30" si="42">CP4-CR4</f>
        <v>-5806.8829481122084</v>
      </c>
      <c r="CW4" s="6">
        <f t="shared" ref="CW4:CW30" si="43">CV4*P4*O4</f>
        <v>-17.361836269287508</v>
      </c>
      <c r="CX4" s="6">
        <v>14.067666470000001</v>
      </c>
      <c r="CY4" s="6">
        <f t="shared" ref="CY4:CY30" si="44">CX4*D4</f>
        <v>2614.6164901142001</v>
      </c>
      <c r="CZ4" s="6">
        <v>14.258185770000001</v>
      </c>
      <c r="DA4" s="6">
        <f t="shared" ref="DA4:DA30" si="45">CZ4*D4</f>
        <v>2650.0264072122004</v>
      </c>
      <c r="DB4" s="6">
        <f t="shared" ref="DB4:DB30" si="46">(CX4-CZ4)*D4</f>
        <v>-35.409917098000015</v>
      </c>
      <c r="DD4" s="5">
        <v>46055</v>
      </c>
      <c r="DE4" s="6">
        <v>871187.27495545114</v>
      </c>
      <c r="DF4" s="6">
        <f t="shared" ref="DF4:DF30" si="47">DE4*P4*O4</f>
        <v>2604.7383704506224</v>
      </c>
      <c r="DG4" s="6">
        <v>887965.46136026597</v>
      </c>
      <c r="DH4" s="6">
        <f t="shared" ref="DH4:DH30" si="48">DG4*P4*O4</f>
        <v>2654.9029988509042</v>
      </c>
      <c r="DI4" s="6">
        <f t="shared" ref="DI4:DI30" si="49">DF4+DH4</f>
        <v>5259.6413693015265</v>
      </c>
      <c r="DJ4" s="6"/>
      <c r="DK4" s="6">
        <f t="shared" ref="DK4:DK30" si="50">DE4-DG4</f>
        <v>-16778.186404814827</v>
      </c>
      <c r="DL4" s="6">
        <f t="shared" ref="DL4:DL30" si="51">DK4*P4*O4</f>
        <v>-50.164628400281607</v>
      </c>
      <c r="DM4" s="6">
        <v>6.1741794700000003</v>
      </c>
      <c r="DN4" s="6">
        <f t="shared" ref="DN4:DN30" si="52">DM4*E4</f>
        <v>2576.4850928310002</v>
      </c>
      <c r="DO4" s="6">
        <v>6.1793716200000004</v>
      </c>
      <c r="DP4" s="6">
        <f t="shared" ref="DP4:DP30" si="53">DO4*E4</f>
        <v>2578.6517770260002</v>
      </c>
      <c r="DQ4" s="6">
        <f t="shared" ref="DQ4:DQ30" si="54">(DM4-DO4)*E4</f>
        <v>-2.166684195000026</v>
      </c>
      <c r="DS4" s="5">
        <v>46055</v>
      </c>
      <c r="DT4" s="6">
        <v>865979.05741826701</v>
      </c>
      <c r="DU4" s="6">
        <f t="shared" ref="DU4:DU30" si="55">DT4*P4*O4</f>
        <v>2589.1664670829446</v>
      </c>
      <c r="DV4" s="6">
        <v>881923.75508168596</v>
      </c>
      <c r="DW4" s="6">
        <f t="shared" ref="DW4:DW30" si="56">DV4*P4*O4</f>
        <v>2636.8390708996903</v>
      </c>
      <c r="DX4" s="6">
        <f t="shared" ref="DX4:DX30" si="57">DU4+DW4</f>
        <v>5226.0055379826354</v>
      </c>
      <c r="DY4" s="6"/>
      <c r="DZ4" s="6">
        <f t="shared" ref="DZ4:DZ30" si="58">DT4-DV4</f>
        <v>-15944.697663418949</v>
      </c>
      <c r="EA4" s="6">
        <f t="shared" ref="EA4:EA30" si="59">DZ4*P4*O4</f>
        <v>-47.672603816745927</v>
      </c>
      <c r="EB4" s="6">
        <v>6.1321148400000007</v>
      </c>
      <c r="EC4" s="6">
        <f t="shared" ref="EC4:EC30" si="60">EB4*E4</f>
        <v>2558.9315227320003</v>
      </c>
      <c r="ED4" s="6">
        <v>6.1455366299999996</v>
      </c>
      <c r="EE4" s="6">
        <f t="shared" ref="EE4:EE30" si="61">ED4*E4</f>
        <v>2564.532435699</v>
      </c>
      <c r="EF4" s="6">
        <f t="shared" ref="EF4:EF30" si="62">(EB4-ED4)*E4</f>
        <v>-5.6009129669995321</v>
      </c>
      <c r="EH4" s="5">
        <v>46055</v>
      </c>
      <c r="EI4" s="6">
        <v>2476433</v>
      </c>
      <c r="EJ4" s="6">
        <f t="shared" ref="EJ4:EJ30" si="63">EI4*P4*O4</f>
        <v>7404.2174884613596</v>
      </c>
      <c r="EK4" s="6">
        <v>2448965</v>
      </c>
      <c r="EL4" s="6">
        <f t="shared" ref="EL4:EL30" si="64">EK4*P4*O4</f>
        <v>7322.0916865628005</v>
      </c>
      <c r="EM4" s="6">
        <f t="shared" ref="EM4:EM30" si="65">EJ4+EL4</f>
        <v>14726.30917502416</v>
      </c>
      <c r="EN4" s="6"/>
      <c r="EO4" s="6">
        <f t="shared" ref="EO4:EO30" si="66">EI4-EK4</f>
        <v>27468</v>
      </c>
      <c r="EP4" s="6">
        <f t="shared" ref="EP4:EP30" si="67">EO4*P4*O4</f>
        <v>82.125801898560013</v>
      </c>
      <c r="EQ4" s="6">
        <v>17.4526</v>
      </c>
      <c r="ER4" s="6">
        <f t="shared" ref="ER4:ER30" si="68">EQ4*F4</f>
        <v>7415.9587920000004</v>
      </c>
      <c r="ES4" s="6">
        <v>17.72748</v>
      </c>
      <c r="ET4" s="6">
        <f t="shared" ref="ET4:ET30" si="69">ES4*F4</f>
        <v>7532.7608016000004</v>
      </c>
      <c r="EU4" s="6">
        <f t="shared" ref="EU4:EU30" si="70">(EQ4-ES4)*F4</f>
        <v>-116.80200959999982</v>
      </c>
      <c r="EW4" s="5">
        <v>46055</v>
      </c>
      <c r="EX4" s="6">
        <v>2426262</v>
      </c>
      <c r="EY4" s="6">
        <f t="shared" ref="EY4:EY30" si="71">EX4*P4*O4</f>
        <v>7254.21262436304</v>
      </c>
      <c r="EZ4" s="6">
        <v>2429078</v>
      </c>
      <c r="FA4" s="6">
        <f t="shared" ref="FA4:FA30" si="72">EZ4*P4*O4</f>
        <v>7262.6321036897598</v>
      </c>
      <c r="FB4" s="6">
        <f t="shared" ref="FB4:FB30" si="73">EY4+FA4</f>
        <v>14516.8447280528</v>
      </c>
      <c r="FC4" s="6"/>
      <c r="FD4" s="6">
        <f t="shared" ref="FD4:FD30" si="74">EX4-EZ4</f>
        <v>-2816</v>
      </c>
      <c r="FE4" s="6">
        <f t="shared" ref="FE4:FE30" si="75">FD4*P4*O4</f>
        <v>-8.4194793267199994</v>
      </c>
      <c r="FF4" s="6">
        <v>17.289750000000002</v>
      </c>
      <c r="FG4" s="6">
        <f t="shared" ref="FG4:FG30" si="76">FF4*F4</f>
        <v>7346.7605700000013</v>
      </c>
      <c r="FH4" s="6">
        <v>17.373429999999999</v>
      </c>
      <c r="FI4" s="6">
        <f t="shared" ref="FI4:FI30" si="77">FH4*F4</f>
        <v>7382.3178755999998</v>
      </c>
      <c r="FJ4" s="6">
        <f t="shared" ref="FJ4:FJ30" si="78">(FF4-FH4)*F4</f>
        <v>-35.557305599998955</v>
      </c>
      <c r="FL4" s="5">
        <v>46055</v>
      </c>
      <c r="FM4" s="6">
        <v>677937.8</v>
      </c>
      <c r="FN4" s="6">
        <f t="shared" ref="FN4:FN30" si="79">FM4*P4*O4</f>
        <v>2026.9471917265762</v>
      </c>
      <c r="FO4" s="6">
        <v>697250.7</v>
      </c>
      <c r="FP4" s="6">
        <f t="shared" ref="FP4:FP30" si="80">FO4*P4*O4</f>
        <v>2084.6902891303439</v>
      </c>
      <c r="FQ4" s="6">
        <f t="shared" ref="FQ4:FQ30" si="81">FN4+FP4</f>
        <v>4111.6374808569199</v>
      </c>
      <c r="FR4" s="6"/>
      <c r="FS4" s="6">
        <f t="shared" ref="FS4:FS30" si="82">FM4-FO4</f>
        <v>-19312.899999999907</v>
      </c>
      <c r="FT4" s="6">
        <f t="shared" ref="FT4:FT30" si="83">FS4*P4*O4</f>
        <v>-57.743097403767727</v>
      </c>
      <c r="FU4" s="6">
        <v>832456</v>
      </c>
      <c r="FV4" s="6">
        <f t="shared" ref="FV4:FV30" si="84">FU4*G4</f>
        <v>1997.8943999999999</v>
      </c>
      <c r="FW4" s="6">
        <v>842380.1</v>
      </c>
      <c r="FX4" s="6">
        <f t="shared" ref="FX4:FX30" si="85">FW4*G4</f>
        <v>2021.7122399999998</v>
      </c>
      <c r="FY4" s="6">
        <f t="shared" ref="FY4:FY30" si="86">(FU4-FW4)*G4</f>
        <v>-23.817839999999944</v>
      </c>
      <c r="GA4" s="5">
        <v>46055</v>
      </c>
      <c r="GB4" s="6">
        <v>671135.2</v>
      </c>
      <c r="GC4" s="6">
        <f t="shared" ref="GC4:GC30" si="87">GB4*P4*O4</f>
        <v>2006.6082890035839</v>
      </c>
      <c r="GD4" s="6">
        <v>670421.9</v>
      </c>
      <c r="GE4" s="6">
        <f t="shared" ref="GE4:GE30" si="88">GD4*P4*O4</f>
        <v>2004.4756133630483</v>
      </c>
      <c r="GF4" s="6">
        <f t="shared" ref="GF4:GF30" si="89">GC4+GE4</f>
        <v>4011.0839023666322</v>
      </c>
      <c r="GG4" s="6"/>
      <c r="GH4" s="6">
        <f t="shared" ref="GH4:GH30" si="90">GB4-GD4</f>
        <v>713.29999999993015</v>
      </c>
      <c r="GI4" s="6">
        <f t="shared" ref="GI4:GI30" si="91">GH4*P4*O4</f>
        <v>2.1326756405357914</v>
      </c>
      <c r="GJ4" s="6">
        <v>800081.3</v>
      </c>
      <c r="GK4" s="6">
        <f t="shared" ref="GK4:GK30" si="92">GJ4*G4</f>
        <v>1920.1951199999999</v>
      </c>
      <c r="GL4" s="6">
        <v>834224.3</v>
      </c>
      <c r="GM4" s="6">
        <f t="shared" ref="GM4:GM30" si="93">GL4*G4</f>
        <v>2002.13832</v>
      </c>
      <c r="GN4" s="6">
        <f t="shared" ref="GN4:GN30" si="94">(GJ4-GL4)*G4</f>
        <v>-81.94319999999999</v>
      </c>
      <c r="GP4" s="5">
        <v>46055</v>
      </c>
      <c r="GQ4" s="6">
        <v>688044.4</v>
      </c>
      <c r="GR4" s="6">
        <f t="shared" ref="GR4:GR30" si="95">GQ4*P4*O4</f>
        <v>2057.1646312732482</v>
      </c>
      <c r="GS4" s="6">
        <v>706752.2</v>
      </c>
      <c r="GT4" s="6">
        <f t="shared" ref="GT4:GT30" si="96">GS4*P4*O4</f>
        <v>2113.0985571782239</v>
      </c>
      <c r="GU4" s="6">
        <f t="shared" ref="GU4:GU30" si="97">GR4+GT4</f>
        <v>4170.2631884514722</v>
      </c>
      <c r="GV4" s="6"/>
      <c r="GW4" s="6">
        <f t="shared" ref="GW4:GW30" si="98">GQ4-GS4</f>
        <v>-18707.79999999993</v>
      </c>
      <c r="GX4" s="6">
        <f t="shared" ref="GX4:GX30" si="99">GW4*P4*O4</f>
        <v>-55.933925904975794</v>
      </c>
      <c r="GY4" s="6">
        <v>500.28550000000001</v>
      </c>
      <c r="GZ4" s="6">
        <f t="shared" ref="GZ4:GZ30" si="100">GY4*H4</f>
        <v>2136.2190849999997</v>
      </c>
      <c r="HA4" s="6">
        <v>506.87810000000002</v>
      </c>
      <c r="HB4" s="6">
        <f t="shared" ref="HB4:HB30" si="101">HA4*H4</f>
        <v>2164.3694869999999</v>
      </c>
      <c r="HC4" s="6">
        <f>(GY4-HA4)*H4</f>
        <v>-28.150402000000017</v>
      </c>
      <c r="HE4" s="5">
        <v>46055</v>
      </c>
      <c r="HF4" s="6">
        <v>667565.4</v>
      </c>
      <c r="HG4" s="6">
        <f t="shared" ref="HG4:HG30" si="102">HF4*P4*O4</f>
        <v>1995.9350442235682</v>
      </c>
      <c r="HH4" s="6">
        <v>677780.4</v>
      </c>
      <c r="HI4" s="6">
        <f t="shared" ref="HI4:HI30" si="103">HH4*P4*O4</f>
        <v>2026.476585886368</v>
      </c>
      <c r="HJ4" s="6">
        <f t="shared" ref="HJ4:HJ30" si="104">HG4+HI4</f>
        <v>4022.4116301099361</v>
      </c>
      <c r="HK4" s="6"/>
      <c r="HL4" s="6">
        <f t="shared" ref="HL4:HL30" si="105">HF4-HH4</f>
        <v>-10215</v>
      </c>
      <c r="HM4" s="6">
        <f t="shared" ref="HM4:HM30" si="106">HL4*P4*O4</f>
        <v>-30.5415416628</v>
      </c>
      <c r="HN4" s="6">
        <v>479.33429999999998</v>
      </c>
      <c r="HO4" s="6">
        <f t="shared" ref="HO4:HO30" si="107">HN4*H4</f>
        <v>2046.7574609999997</v>
      </c>
      <c r="HP4" s="6">
        <v>491.86169999999998</v>
      </c>
      <c r="HQ4" s="6">
        <f t="shared" ref="HQ4:HQ30" si="108">HP4*H4</f>
        <v>2100.2494589999997</v>
      </c>
      <c r="HR4" s="6">
        <f t="shared" ref="HR4:HR30" si="109">(HN4-HP4)*H4</f>
        <v>-53.491997999999995</v>
      </c>
      <c r="HT4" s="5">
        <v>46055</v>
      </c>
      <c r="HU4" s="6"/>
      <c r="HV4" s="6">
        <f t="shared" ref="HV4:HV30" si="110">HU4*P4*O4</f>
        <v>0</v>
      </c>
      <c r="HW4" s="6"/>
      <c r="HX4" s="6">
        <f t="shared" ref="HX4:HX30" si="111">HW4*P4*O4</f>
        <v>0</v>
      </c>
      <c r="HY4" s="6">
        <f t="shared" ref="HY4:HY30" si="112">HV4+HX4</f>
        <v>0</v>
      </c>
      <c r="HZ4" s="6"/>
      <c r="IA4" s="6">
        <f t="shared" ref="IA4:IA30" si="113">HU4-HW4</f>
        <v>0</v>
      </c>
      <c r="IB4" s="6">
        <f t="shared" ref="IB4:IB30" si="114">IA4*P4*O4</f>
        <v>0</v>
      </c>
      <c r="IC4" s="6"/>
      <c r="ID4" s="6">
        <f t="shared" ref="ID4:ID30" si="115">IC4*I4</f>
        <v>0</v>
      </c>
      <c r="IE4" s="6"/>
      <c r="IF4" s="6">
        <f t="shared" ref="IF4:IF30" si="116">IE4*I4</f>
        <v>0</v>
      </c>
      <c r="IG4" s="6">
        <f t="shared" ref="IG4:IG30" si="117">(IC4-IE4)*I4</f>
        <v>0</v>
      </c>
      <c r="II4" s="5">
        <v>46055</v>
      </c>
      <c r="IJ4" s="6"/>
      <c r="IK4" s="6">
        <f t="shared" ref="IK4:IK30" si="118">IJ4*P4*O4</f>
        <v>0</v>
      </c>
      <c r="IL4" s="6"/>
      <c r="IM4" s="6">
        <f t="shared" ref="IM4:IM30" si="119">IL4*P4*O4</f>
        <v>0</v>
      </c>
      <c r="IN4" s="6">
        <f t="shared" ref="IN4:IN30" si="120">IK4+IM4</f>
        <v>0</v>
      </c>
      <c r="IO4" s="6"/>
      <c r="IP4" s="6">
        <f t="shared" ref="IP4:IP30" si="121">IJ4-IL4</f>
        <v>0</v>
      </c>
      <c r="IQ4" s="6">
        <f t="shared" ref="IQ4:IQ30" si="122">IP4*P4*O4</f>
        <v>0</v>
      </c>
      <c r="IR4" s="6"/>
      <c r="IS4" s="6">
        <f t="shared" ref="IS4:IS30" si="123">IR4*I4</f>
        <v>0</v>
      </c>
      <c r="IT4" s="6"/>
      <c r="IU4" s="6">
        <f t="shared" ref="IU4:IU30" si="124">IT4*I4</f>
        <v>0</v>
      </c>
      <c r="IV4" s="6">
        <f t="shared" ref="IV4:IV30" si="125">(IR4-IT4)*I4</f>
        <v>0</v>
      </c>
      <c r="IX4" s="5">
        <v>46055</v>
      </c>
      <c r="IY4" s="6">
        <v>869240.8</v>
      </c>
      <c r="IZ4" s="6">
        <f t="shared" ref="IZ4:IZ30" si="126">IY4*P4*O4</f>
        <v>2598.9186596383361</v>
      </c>
      <c r="JA4" s="6">
        <v>887828.6</v>
      </c>
      <c r="JB4" s="6">
        <f t="shared" ref="JB4:JB30" si="127">JA4*P4*O4</f>
        <v>2654.4938009129123</v>
      </c>
      <c r="JC4" s="6">
        <f t="shared" ref="JC4:JC30" si="128">IZ4+JB4</f>
        <v>5253.4124605512479</v>
      </c>
      <c r="JD4" s="6"/>
      <c r="JE4" s="6">
        <f t="shared" ref="JE4:JE30" si="129">IY4-JA4</f>
        <v>-18587.79999999993</v>
      </c>
      <c r="JF4" s="6">
        <f t="shared" ref="JF4:JF30" si="130">JE4*P4*O4</f>
        <v>-55.575141274575792</v>
      </c>
      <c r="JG4" s="6">
        <v>18.961549999999999</v>
      </c>
      <c r="JH4" s="6">
        <f t="shared" ref="JH4:JH30" si="131">JG4*J4</f>
        <v>2689.5062520000001</v>
      </c>
      <c r="JI4" s="6">
        <v>18.93122</v>
      </c>
      <c r="JJ4" s="6">
        <f t="shared" ref="JJ4:JJ30" si="132">JI4*J4</f>
        <v>2685.2042448000002</v>
      </c>
      <c r="JK4" s="6">
        <f t="shared" ref="JK4:JK30" si="133">(JG4-JI4)*J4</f>
        <v>4.3020071999999008</v>
      </c>
      <c r="JM4" s="5">
        <v>46055</v>
      </c>
      <c r="JN4" s="6">
        <v>862233.3</v>
      </c>
      <c r="JO4" s="6">
        <f t="shared" ref="JO4:JO30" si="134">JN4*P4*O4</f>
        <v>2577.9671321589362</v>
      </c>
      <c r="JP4" s="6">
        <v>875968.8</v>
      </c>
      <c r="JQ4" s="6">
        <f t="shared" ref="JQ4:JQ30" si="135">JP4*P4*O4</f>
        <v>2619.0345179160963</v>
      </c>
      <c r="JR4" s="6">
        <f t="shared" ref="JR4:JR30" si="136">JO4+JQ4</f>
        <v>5197.0016500750326</v>
      </c>
      <c r="JS4" s="6"/>
      <c r="JT4" s="6">
        <f t="shared" ref="JT4:JT30" si="137">JN4-JP4</f>
        <v>-13735.5</v>
      </c>
      <c r="JU4" s="6">
        <f t="shared" ref="JU4:JU30" si="138">JT4*P4*O4</f>
        <v>-41.067385757160004</v>
      </c>
      <c r="JV4" s="6">
        <v>18.704940000000001</v>
      </c>
      <c r="JW4" s="6">
        <f t="shared" ref="JW4:JW30" si="139">JV4*J4</f>
        <v>2653.1086896000002</v>
      </c>
      <c r="JX4" s="6">
        <v>18.803550000000001</v>
      </c>
      <c r="JY4" s="6">
        <f t="shared" ref="JY4:JY30" si="140">JX4*J4</f>
        <v>2667.0955320000003</v>
      </c>
      <c r="JZ4" s="6">
        <f t="shared" ref="JZ4:JZ30" si="141">(JV4-JX4)*J4</f>
        <v>-13.986842400000107</v>
      </c>
      <c r="KB4" s="5">
        <v>46055</v>
      </c>
      <c r="KC4" s="6">
        <v>895760.07922705205</v>
      </c>
      <c r="KD4" s="6">
        <f t="shared" ref="KD4:KD30" si="142">KC4*P4*O4</f>
        <v>2678.2079079379382</v>
      </c>
      <c r="KE4" s="6">
        <v>899793.2806982859</v>
      </c>
      <c r="KF4" s="6">
        <f t="shared" ref="KF4:KF30" si="143">KE4*P4*O4</f>
        <v>2690.2666637644834</v>
      </c>
      <c r="KG4" s="6">
        <f t="shared" ref="KG4:KG30" si="144">KD4+KF4</f>
        <v>5368.4745717024216</v>
      </c>
      <c r="KH4" s="6"/>
      <c r="KI4" s="6">
        <f t="shared" ref="KI4:KI30" si="145">KC4-KE4</f>
        <v>-4033.2014712338569</v>
      </c>
      <c r="KJ4" s="6">
        <f t="shared" ref="KJ4:KJ30" si="146">KI4*P4*O4</f>
        <v>-12.058755826544797</v>
      </c>
      <c r="KK4" s="6">
        <v>3.9894493020000001</v>
      </c>
      <c r="KL4" s="6">
        <f t="shared" ref="KL4:KL30" si="147">KK4*K4</f>
        <v>2736.2834872557601</v>
      </c>
      <c r="KM4" s="6">
        <v>4.0512842610000002</v>
      </c>
      <c r="KN4" s="6">
        <f t="shared" ref="KN4:KN30" si="148">KM4*K4</f>
        <v>2778.6948489346801</v>
      </c>
      <c r="KO4" s="6">
        <f t="shared" ref="KO4:KO30" si="149">(KK4-KM4)*K4</f>
        <v>-42.411361678920017</v>
      </c>
      <c r="KQ4" s="5">
        <v>46055</v>
      </c>
      <c r="KR4" s="6">
        <v>862252.9630586101</v>
      </c>
      <c r="KS4" s="6">
        <f t="shared" ref="KS4:KS30" si="150">KR4*P4*O4</f>
        <v>2578.0259221857359</v>
      </c>
      <c r="KT4" s="6">
        <v>870029.04072032298</v>
      </c>
      <c r="KU4" s="6">
        <f t="shared" ref="KU4:KU30" si="151">KT4*P4*O4</f>
        <v>2601.2753984342303</v>
      </c>
      <c r="KV4" s="6">
        <f t="shared" ref="KV4:KV30" si="152">KS4+KU4</f>
        <v>5179.3013206199666</v>
      </c>
      <c r="KW4" s="6"/>
      <c r="KX4" s="6">
        <f t="shared" ref="KX4:KX30" si="153">KR4-KT4</f>
        <v>-7776.0776617128868</v>
      </c>
      <c r="KY4" s="6">
        <f t="shared" ref="KY4:KY30" si="154">KX4*P4*O4</f>
        <v>-23.24947624849462</v>
      </c>
      <c r="KZ4" s="6">
        <v>3.8572639560000002</v>
      </c>
      <c r="LA4" s="6">
        <f t="shared" ref="LA4:LA30" si="155">KZ4*K4</f>
        <v>2645.6202021412801</v>
      </c>
      <c r="LB4" s="6">
        <v>3.901186075</v>
      </c>
      <c r="LC4" s="6">
        <f t="shared" ref="LC4:LC30" si="156">LB4*K4</f>
        <v>2675.745505121</v>
      </c>
      <c r="LD4" s="6">
        <f t="shared" ref="LD4:LD30" si="157">(KZ4-LB4)*K4</f>
        <v>-30.125302979719912</v>
      </c>
      <c r="LF4" s="5">
        <v>46055</v>
      </c>
      <c r="LG4" s="6">
        <v>878434.88817837206</v>
      </c>
      <c r="LH4" s="6">
        <f t="shared" ref="LH4:LH30" si="158">LG4*P4*O4</f>
        <v>2626.4078057128545</v>
      </c>
      <c r="LI4" s="6">
        <v>898684.69254044199</v>
      </c>
      <c r="LJ4" s="6">
        <f t="shared" ref="LJ4:LJ30" si="159">LI4*P4*O4</f>
        <v>2686.9521271605013</v>
      </c>
      <c r="LK4" s="6">
        <f t="shared" ref="LK4:LK30" si="160">LH4+LJ4</f>
        <v>5313.3599328733562</v>
      </c>
      <c r="LL4" s="6"/>
      <c r="LM4" s="6">
        <f t="shared" ref="LM4:LM30" si="161">LG4-LI4</f>
        <v>-20249.804362069932</v>
      </c>
      <c r="LN4" s="6">
        <f t="shared" ref="LN4:LN30" si="162">LM4*P4*O4</f>
        <v>-60.544321447646404</v>
      </c>
      <c r="LO4" s="6">
        <v>43.987968300000013</v>
      </c>
      <c r="LP4" s="6">
        <f t="shared" ref="LP4:LP30" si="163">LO4*L4</f>
        <v>2696.0225771070009</v>
      </c>
      <c r="LQ4" s="6">
        <v>43.853834130000003</v>
      </c>
      <c r="LR4" s="6">
        <f t="shared" ref="LR4:LR30" si="164">LQ4*L4</f>
        <v>2687.8014938277001</v>
      </c>
      <c r="LS4" s="6">
        <f t="shared" ref="LS4:LS30" si="165">(LO4-LQ4)*L4</f>
        <v>8.2210832793006148</v>
      </c>
      <c r="LU4" s="5">
        <v>46055</v>
      </c>
      <c r="LV4" s="6">
        <v>807611.83908441896</v>
      </c>
      <c r="LW4" s="6">
        <f t="shared" ref="LW4:LW30" si="166">LV4*P4*O4</f>
        <v>2414.6559599380626</v>
      </c>
      <c r="LX4" s="6">
        <v>792223.11618101003</v>
      </c>
      <c r="LY4" s="6">
        <f t="shared" ref="LY4:LY30" si="167">LX4*P4*O4</f>
        <v>2368.6456494444997</v>
      </c>
      <c r="LZ4" s="6">
        <f t="shared" ref="LZ4:LZ30" si="168">LW4+LY4</f>
        <v>4783.3016093825627</v>
      </c>
      <c r="MA4" s="6"/>
      <c r="MB4" s="6">
        <f t="shared" ref="MB4:MB30" si="169">LV4-LX4</f>
        <v>15388.722903408925</v>
      </c>
      <c r="MC4" s="6">
        <f t="shared" ref="MC4:MC30" si="170">MB4*P4*O4</f>
        <v>46.010310493563217</v>
      </c>
      <c r="MD4" s="6">
        <v>38.763441649999997</v>
      </c>
      <c r="ME4" s="6">
        <f t="shared" ref="ME4:ME30" si="171">MD4*L4</f>
        <v>2375.8113387284998</v>
      </c>
      <c r="MF4" s="6">
        <v>40.334205990000001</v>
      </c>
      <c r="MG4" s="6">
        <f t="shared" ref="MG4:MG30" si="172">MF4*L4</f>
        <v>2472.0834851271002</v>
      </c>
      <c r="MH4" s="6">
        <f t="shared" ref="MH4:MH30" si="173">(MD4-MF4)*L4</f>
        <v>-96.272146398600228</v>
      </c>
      <c r="MJ4" s="5">
        <v>46055</v>
      </c>
      <c r="MK4" s="6">
        <v>892003.4</v>
      </c>
      <c r="ML4" s="6">
        <f t="shared" ref="ML4:ML30" si="174">MK4*P4*O4</f>
        <v>2666.9759182045282</v>
      </c>
      <c r="MM4" s="6">
        <v>896679.2</v>
      </c>
      <c r="MN4" s="6">
        <f t="shared" ref="MN4:MN30" si="175">MM4*P4*O4</f>
        <v>2680.9559613280639</v>
      </c>
      <c r="MO4" s="6">
        <f t="shared" ref="MO4:MO30" si="176">ML4+MN4</f>
        <v>5347.9318795325926</v>
      </c>
      <c r="MP4" s="6"/>
      <c r="MQ4" s="6">
        <f t="shared" ref="MQ4:MQ30" si="177">MK4-MM4</f>
        <v>-4675.7999999999302</v>
      </c>
      <c r="MR4" s="6">
        <f t="shared" ref="MR4:MR30" si="178">MQ4*P4*O4</f>
        <v>-13.980043123535793</v>
      </c>
      <c r="MS4" s="6">
        <v>7.9481599999999997</v>
      </c>
      <c r="MT4" s="6">
        <f t="shared" ref="MT4:MT30" si="179">MS4*M4</f>
        <v>2755.7065535999996</v>
      </c>
      <c r="MU4" s="6">
        <v>8.0651639999999993</v>
      </c>
      <c r="MV4" s="6">
        <f t="shared" ref="MV4:MV30" si="180">MU4*M4</f>
        <v>2796.2730104399998</v>
      </c>
      <c r="MW4" s="6">
        <f t="shared" ref="MW4:MW30" si="181">(MS4-MU4)*M4</f>
        <v>-40.56645683999988</v>
      </c>
      <c r="MY4" s="5">
        <v>46055</v>
      </c>
      <c r="MZ4" s="6">
        <v>858898.9</v>
      </c>
      <c r="NA4" s="6">
        <f t="shared" ref="NA4:NA30" si="182">MZ4*P4*O4</f>
        <v>2567.997703228888</v>
      </c>
      <c r="NB4" s="6">
        <v>866888.9</v>
      </c>
      <c r="NC4" s="6">
        <f t="shared" ref="NC4:NC30" si="183">NB4*P4*O4</f>
        <v>2591.8867798696883</v>
      </c>
      <c r="ND4" s="6">
        <f t="shared" ref="ND4:ND30" si="184">NA4+NC4</f>
        <v>5159.8844830985763</v>
      </c>
      <c r="NE4" s="6"/>
      <c r="NF4" s="6">
        <f t="shared" ref="NF4:NF30" si="185">MZ4-NB4</f>
        <v>-7990</v>
      </c>
      <c r="NG4" s="6">
        <f t="shared" ref="NG4:NG30" si="186">NF4*P4*O4</f>
        <v>-23.889076640800003</v>
      </c>
      <c r="NH4" s="6">
        <v>7.6839839999999997</v>
      </c>
      <c r="NI4" s="6">
        <f t="shared" ref="NI4:NI30" si="187">NH4*M4</f>
        <v>2664.1140926399999</v>
      </c>
      <c r="NJ4" s="6">
        <v>7.7709489999999999</v>
      </c>
      <c r="NK4" s="6">
        <f t="shared" ref="NK4:NK30" si="188">NJ4*M4</f>
        <v>2694.2657277899998</v>
      </c>
      <c r="NL4" s="6">
        <f t="shared" ref="NL4:NL30" si="189">(NH4-NJ4)*M4</f>
        <v>-30.151635150000061</v>
      </c>
      <c r="NN4" s="5">
        <v>46055</v>
      </c>
      <c r="NO4" s="6">
        <v>864679.3</v>
      </c>
      <c r="NP4" s="6">
        <f t="shared" ref="NP4:NP30" si="190">NO4*P4*O4</f>
        <v>2585.2803588752563</v>
      </c>
      <c r="NQ4" s="6">
        <v>856389.4</v>
      </c>
      <c r="NR4" s="6">
        <f t="shared" ref="NR4:NR30" si="191">NQ4*P4*O4</f>
        <v>2560.4946196456481</v>
      </c>
      <c r="NS4" s="6">
        <f t="shared" ref="NS4:NS30" si="192">NP4+NR4</f>
        <v>5145.7749785209044</v>
      </c>
      <c r="NT4" s="6"/>
      <c r="NU4" s="6">
        <f t="shared" ref="NU4:NU30" si="193">NO4-NQ4</f>
        <v>8289.9000000000233</v>
      </c>
      <c r="NV4" s="6">
        <f t="shared" ref="NV4:NV30" si="194">NU4*P4*O4</f>
        <v>24.785739229608069</v>
      </c>
      <c r="NW4" s="6">
        <v>332694.40000000002</v>
      </c>
      <c r="NX4" s="6">
        <f t="shared" ref="NX4:NX30" si="195">NW4*N4</f>
        <v>2598.3432640000001</v>
      </c>
      <c r="NY4" s="6">
        <v>349609.9</v>
      </c>
      <c r="NZ4" s="6">
        <f t="shared" ref="NZ4:NZ30" si="196">NY4*N4</f>
        <v>2730.4533190000002</v>
      </c>
      <c r="OA4" s="6">
        <f t="shared" ref="OA4:OA30" si="197">(NW4-NY4)*N4</f>
        <v>-132.11005499999999</v>
      </c>
      <c r="OC4" s="5">
        <v>46055</v>
      </c>
      <c r="OD4" s="6">
        <v>835759.8</v>
      </c>
      <c r="OE4" s="6">
        <f t="shared" ref="OE4:OE30" si="198">OD4*P4*O4</f>
        <v>2498.8147578848161</v>
      </c>
      <c r="OF4" s="6">
        <v>848790.9</v>
      </c>
      <c r="OG4" s="6">
        <f t="shared" ref="OG4:OG30" si="199">OF4*P4*O4</f>
        <v>2537.7760778615284</v>
      </c>
      <c r="OH4" s="6">
        <f t="shared" ref="OH4:OH30" si="200">OE4+OG4</f>
        <v>5036.590835746345</v>
      </c>
      <c r="OI4" s="6"/>
      <c r="OJ4" s="6">
        <f t="shared" ref="OJ4:OJ30" si="201">OD4-OF4</f>
        <v>-13031.099999999977</v>
      </c>
      <c r="OK4" s="6">
        <f t="shared" ref="OK4:OK30" si="202">OJ4*P4*O4</f>
        <v>-38.961319976711934</v>
      </c>
      <c r="OL4" s="6">
        <v>329644.7</v>
      </c>
      <c r="OM4" s="6">
        <f t="shared" ref="OM4:OM30" si="203">OL4*N4</f>
        <v>2574.5251069999999</v>
      </c>
      <c r="ON4" s="6">
        <v>337948.1</v>
      </c>
      <c r="OO4" s="6">
        <f t="shared" ref="OO4:OO30" si="204">ON4*N4</f>
        <v>2639.3746609999998</v>
      </c>
      <c r="OP4" s="6">
        <f t="shared" ref="OP4:OP30" si="205">(OL4-ON4)*N4</f>
        <v>-64.849553999999728</v>
      </c>
    </row>
    <row r="5" spans="1:406" x14ac:dyDescent="0.2">
      <c r="A5" s="5">
        <v>46056</v>
      </c>
      <c r="B5" s="10">
        <v>188.32</v>
      </c>
      <c r="C5" s="6">
        <v>91.07</v>
      </c>
      <c r="D5" s="6">
        <v>186.72</v>
      </c>
      <c r="E5" s="6">
        <v>435.48</v>
      </c>
      <c r="F5" s="6">
        <v>427.2</v>
      </c>
      <c r="G5" s="2">
        <v>2.47E-3</v>
      </c>
      <c r="H5" s="6">
        <v>4.2670000000000003</v>
      </c>
      <c r="I5" s="6">
        <v>628.80999999999995</v>
      </c>
      <c r="J5" s="6">
        <v>142.11000000000001</v>
      </c>
      <c r="K5" s="6">
        <v>698.23</v>
      </c>
      <c r="L5" s="6">
        <v>59.9</v>
      </c>
      <c r="M5" s="6">
        <v>350.34</v>
      </c>
      <c r="N5" s="6">
        <v>7.7499999999999999E-3</v>
      </c>
      <c r="O5" s="6">
        <v>104.961</v>
      </c>
      <c r="P5" s="7">
        <v>2.9110000000000001E-5</v>
      </c>
      <c r="R5" s="5">
        <v>46056</v>
      </c>
      <c r="S5" s="6">
        <v>412479.22012761602</v>
      </c>
      <c r="T5" s="6">
        <f t="shared" si="0"/>
        <v>1260.2950767472462</v>
      </c>
      <c r="U5" s="6">
        <v>337854.68183562299</v>
      </c>
      <c r="V5" s="6">
        <f t="shared" si="1"/>
        <v>1032.2861647229322</v>
      </c>
      <c r="W5" s="6">
        <f t="shared" si="2"/>
        <v>2292.5812414701786</v>
      </c>
      <c r="X5" s="6"/>
      <c r="Y5" s="6">
        <f t="shared" si="3"/>
        <v>74624.538291993027</v>
      </c>
      <c r="Z5" s="6">
        <f t="shared" si="4"/>
        <v>228.00891202431379</v>
      </c>
      <c r="AA5" s="6">
        <v>5.4834776699999992</v>
      </c>
      <c r="AB5" s="6">
        <f t="shared" si="5"/>
        <v>1032.6485148143997</v>
      </c>
      <c r="AC5" s="6">
        <v>6.8260938400000004</v>
      </c>
      <c r="AD5" s="6">
        <f t="shared" si="6"/>
        <v>1285.4899919488</v>
      </c>
      <c r="AE5" s="6">
        <f t="shared" si="7"/>
        <v>-252.84147713440021</v>
      </c>
      <c r="AG5" s="5">
        <v>46056</v>
      </c>
      <c r="AH5" s="6">
        <v>921424.15739813994</v>
      </c>
      <c r="AI5" s="6">
        <f t="shared" si="8"/>
        <v>2815.3329246636322</v>
      </c>
      <c r="AJ5" s="6">
        <v>866916.925493496</v>
      </c>
      <c r="AK5" s="6">
        <f t="shared" si="9"/>
        <v>2648.7907265008021</v>
      </c>
      <c r="AL5" s="6">
        <f t="shared" si="10"/>
        <v>5464.1236511644347</v>
      </c>
      <c r="AM5" s="6"/>
      <c r="AN5" s="6">
        <f t="shared" si="11"/>
        <v>54507.231904643937</v>
      </c>
      <c r="AO5" s="6">
        <f t="shared" si="12"/>
        <v>166.5421981628304</v>
      </c>
      <c r="AP5" s="6">
        <v>13.91948184</v>
      </c>
      <c r="AQ5" s="6">
        <f t="shared" si="13"/>
        <v>2621.3168201087997</v>
      </c>
      <c r="AR5" s="6">
        <v>15.11092936</v>
      </c>
      <c r="AS5" s="6">
        <f t="shared" si="14"/>
        <v>2845.6902170752001</v>
      </c>
      <c r="AT5" s="6">
        <f t="shared" si="15"/>
        <v>-224.37339696640009</v>
      </c>
      <c r="AV5" s="5">
        <v>46056</v>
      </c>
      <c r="AW5" s="6">
        <v>908404.71832282585</v>
      </c>
      <c r="AX5" s="6">
        <f t="shared" si="16"/>
        <v>2775.5531389969688</v>
      </c>
      <c r="AY5" s="6">
        <v>844228.505719017</v>
      </c>
      <c r="AZ5" s="6">
        <f t="shared" si="17"/>
        <v>2579.4681949752035</v>
      </c>
      <c r="BA5" s="6">
        <f t="shared" si="18"/>
        <v>5355.0213339721722</v>
      </c>
      <c r="BB5" s="6"/>
      <c r="BC5" s="6">
        <f t="shared" ref="BC5:BC30" si="206">AW5-AY5</f>
        <v>64176.212603808846</v>
      </c>
      <c r="BD5" s="6">
        <f t="shared" si="19"/>
        <v>196.08494402176495</v>
      </c>
      <c r="BE5" s="6">
        <v>28.043134770000002</v>
      </c>
      <c r="BF5" s="6">
        <f t="shared" si="20"/>
        <v>2553.8882835038999</v>
      </c>
      <c r="BG5" s="6">
        <v>30.812245000000001</v>
      </c>
      <c r="BH5" s="6">
        <f t="shared" si="21"/>
        <v>2806.0711521499998</v>
      </c>
      <c r="BI5" s="6">
        <f t="shared" si="22"/>
        <v>-252.18286864609988</v>
      </c>
      <c r="BK5" s="5">
        <v>46056</v>
      </c>
      <c r="BL5" s="6">
        <v>864077.68318529206</v>
      </c>
      <c r="BM5" s="6">
        <f t="shared" si="23"/>
        <v>2640.1156637870608</v>
      </c>
      <c r="BN5" s="6">
        <v>789080.01425023598</v>
      </c>
      <c r="BO5" s="6">
        <f t="shared" si="24"/>
        <v>2410.9666829071807</v>
      </c>
      <c r="BP5" s="6">
        <f t="shared" si="25"/>
        <v>5051.082346694242</v>
      </c>
      <c r="BQ5" s="6"/>
      <c r="BR5" s="6">
        <f t="shared" si="26"/>
        <v>74997.668935056077</v>
      </c>
      <c r="BS5" s="6">
        <f t="shared" si="27"/>
        <v>229.14898087988038</v>
      </c>
      <c r="BT5" s="6">
        <v>26.21980018</v>
      </c>
      <c r="BU5" s="6">
        <f t="shared" si="28"/>
        <v>2387.8372023925999</v>
      </c>
      <c r="BV5" s="6">
        <v>29.31852576</v>
      </c>
      <c r="BW5" s="6">
        <f t="shared" si="29"/>
        <v>2670.0381409632</v>
      </c>
      <c r="BX5" s="6">
        <f t="shared" si="30"/>
        <v>-282.20093857059999</v>
      </c>
      <c r="BZ5" s="5">
        <v>46056</v>
      </c>
      <c r="CA5" s="6">
        <v>869507.25640649407</v>
      </c>
      <c r="CB5" s="6">
        <f t="shared" si="31"/>
        <v>2656.7052616761434</v>
      </c>
      <c r="CC5" s="6">
        <v>895251.38653262286</v>
      </c>
      <c r="CD5" s="6">
        <f t="shared" si="32"/>
        <v>2735.3642555596721</v>
      </c>
      <c r="CE5" s="6">
        <f t="shared" si="33"/>
        <v>5392.0695172358155</v>
      </c>
      <c r="CF5" s="6"/>
      <c r="CG5" s="6">
        <f t="shared" si="34"/>
        <v>-25744.130126128788</v>
      </c>
      <c r="CH5" s="6">
        <f t="shared" si="35"/>
        <v>-78.658993883528055</v>
      </c>
      <c r="CI5" s="6">
        <v>14.46530645</v>
      </c>
      <c r="CJ5" s="6">
        <f t="shared" si="36"/>
        <v>2700.9620203439999</v>
      </c>
      <c r="CK5" s="6">
        <v>14.331692439999999</v>
      </c>
      <c r="CL5" s="6">
        <f t="shared" si="37"/>
        <v>2676.0136123968</v>
      </c>
      <c r="CM5" s="6">
        <f t="shared" si="38"/>
        <v>24.948407947200096</v>
      </c>
      <c r="CO5" s="5">
        <v>46056</v>
      </c>
      <c r="CP5" s="6">
        <v>834099.36886981595</v>
      </c>
      <c r="CQ5" s="6">
        <f t="shared" si="39"/>
        <v>2548.519481246552</v>
      </c>
      <c r="CR5" s="6">
        <v>842735.76850109792</v>
      </c>
      <c r="CS5" s="6">
        <f t="shared" si="40"/>
        <v>2574.9072637214094</v>
      </c>
      <c r="CT5" s="6">
        <f t="shared" si="41"/>
        <v>5123.426744967961</v>
      </c>
      <c r="CU5" s="6"/>
      <c r="CV5" s="6">
        <f t="shared" si="42"/>
        <v>-8636.3996312819654</v>
      </c>
      <c r="CW5" s="6">
        <f t="shared" si="43"/>
        <v>-26.387782474857495</v>
      </c>
      <c r="CX5" s="6">
        <v>13.60910222</v>
      </c>
      <c r="CY5" s="6">
        <f t="shared" si="44"/>
        <v>2541.0915665184002</v>
      </c>
      <c r="CZ5" s="6">
        <v>13.747188619999999</v>
      </c>
      <c r="DA5" s="6">
        <f t="shared" si="45"/>
        <v>2566.8750591263997</v>
      </c>
      <c r="DB5" s="6">
        <f t="shared" si="46"/>
        <v>-25.783492607999783</v>
      </c>
      <c r="DD5" s="5">
        <v>46056</v>
      </c>
      <c r="DE5" s="6">
        <v>926219.90627926006</v>
      </c>
      <c r="DF5" s="6">
        <f t="shared" si="47"/>
        <v>2829.9859263404728</v>
      </c>
      <c r="DG5" s="6">
        <v>830766.41196071496</v>
      </c>
      <c r="DH5" s="6">
        <f t="shared" si="48"/>
        <v>2538.3359156786887</v>
      </c>
      <c r="DI5" s="6">
        <f t="shared" si="49"/>
        <v>5368.3218420191615</v>
      </c>
      <c r="DJ5" s="6"/>
      <c r="DK5" s="6">
        <f t="shared" si="50"/>
        <v>95453.494318545097</v>
      </c>
      <c r="DL5" s="6">
        <f t="shared" si="51"/>
        <v>291.65001066178411</v>
      </c>
      <c r="DM5" s="6">
        <v>5.577837839999999</v>
      </c>
      <c r="DN5" s="6">
        <f t="shared" si="52"/>
        <v>2429.0368225631996</v>
      </c>
      <c r="DO5" s="6">
        <v>6.3246348699999997</v>
      </c>
      <c r="DP5" s="6">
        <f t="shared" si="53"/>
        <v>2754.2519931876</v>
      </c>
      <c r="DQ5" s="6">
        <f t="shared" si="54"/>
        <v>-325.21517062440029</v>
      </c>
      <c r="DS5" s="5">
        <v>46056</v>
      </c>
      <c r="DT5" s="6">
        <v>989113.462144844</v>
      </c>
      <c r="DU5" s="6">
        <f t="shared" si="55"/>
        <v>3022.1518220963844</v>
      </c>
      <c r="DV5" s="6">
        <v>905769.92843300407</v>
      </c>
      <c r="DW5" s="6">
        <f t="shared" si="56"/>
        <v>2767.5027632098477</v>
      </c>
      <c r="DX5" s="6">
        <f t="shared" si="57"/>
        <v>5789.6545853062325</v>
      </c>
      <c r="DY5" s="6"/>
      <c r="DZ5" s="6">
        <f t="shared" si="58"/>
        <v>83343.533711839933</v>
      </c>
      <c r="EA5" s="6">
        <f t="shared" si="59"/>
        <v>254.64905888653664</v>
      </c>
      <c r="EB5" s="6">
        <v>6.06344174</v>
      </c>
      <c r="EC5" s="6">
        <f t="shared" si="60"/>
        <v>2640.5076089352001</v>
      </c>
      <c r="ED5" s="6">
        <v>6.7436705599999991</v>
      </c>
      <c r="EE5" s="6">
        <f t="shared" si="61"/>
        <v>2936.7336554688</v>
      </c>
      <c r="EF5" s="6">
        <f t="shared" si="62"/>
        <v>-296.22604653359963</v>
      </c>
      <c r="EH5" s="5">
        <v>46056</v>
      </c>
      <c r="EI5" s="6">
        <v>2597261</v>
      </c>
      <c r="EJ5" s="6">
        <f t="shared" si="63"/>
        <v>7935.7094651093093</v>
      </c>
      <c r="EK5" s="6">
        <v>2589908</v>
      </c>
      <c r="EL5" s="6">
        <f t="shared" si="64"/>
        <v>7913.243000746681</v>
      </c>
      <c r="EM5" s="6">
        <f t="shared" si="65"/>
        <v>15848.952465855989</v>
      </c>
      <c r="EN5" s="6"/>
      <c r="EO5" s="6">
        <f t="shared" si="66"/>
        <v>7353</v>
      </c>
      <c r="EP5" s="6">
        <f t="shared" si="67"/>
        <v>22.466464362629999</v>
      </c>
      <c r="EQ5" s="6">
        <v>18.367909999999998</v>
      </c>
      <c r="ER5" s="6">
        <f t="shared" si="68"/>
        <v>7846.7711519999993</v>
      </c>
      <c r="ES5" s="6">
        <v>18.508019999999998</v>
      </c>
      <c r="ET5" s="6">
        <f t="shared" si="69"/>
        <v>7906.6261439999989</v>
      </c>
      <c r="EU5" s="6">
        <f t="shared" si="70"/>
        <v>-59.854991999999982</v>
      </c>
      <c r="EW5" s="5">
        <v>46056</v>
      </c>
      <c r="EX5" s="6">
        <v>2490312</v>
      </c>
      <c r="EY5" s="6">
        <f t="shared" si="71"/>
        <v>7608.9359172895192</v>
      </c>
      <c r="EZ5" s="6">
        <v>2482139</v>
      </c>
      <c r="FA5" s="6">
        <f t="shared" si="72"/>
        <v>7583.9640128646897</v>
      </c>
      <c r="FB5" s="6">
        <f t="shared" si="73"/>
        <v>15192.89993015421</v>
      </c>
      <c r="FC5" s="6"/>
      <c r="FD5" s="6">
        <f>EX5-EZ5</f>
        <v>8173</v>
      </c>
      <c r="FE5" s="6">
        <f t="shared" si="75"/>
        <v>24.971904424830001</v>
      </c>
      <c r="FF5" s="6">
        <v>17.59151</v>
      </c>
      <c r="FG5" s="6">
        <f t="shared" si="76"/>
        <v>7515.0930719999997</v>
      </c>
      <c r="FH5" s="6">
        <v>17.74578</v>
      </c>
      <c r="FI5" s="6">
        <f t="shared" si="77"/>
        <v>7580.9972159999998</v>
      </c>
      <c r="FJ5" s="6">
        <f t="shared" si="78"/>
        <v>-65.904144000000144</v>
      </c>
      <c r="FL5" s="5">
        <v>46056</v>
      </c>
      <c r="FM5" s="6">
        <v>653239.6</v>
      </c>
      <c r="FN5" s="6">
        <f t="shared" si="79"/>
        <v>1995.917882994516</v>
      </c>
      <c r="FO5" s="6">
        <v>676528.1</v>
      </c>
      <c r="FP5" s="6">
        <f t="shared" si="80"/>
        <v>2067.073908468351</v>
      </c>
      <c r="FQ5" s="6">
        <f t="shared" si="81"/>
        <v>4062.9917914628668</v>
      </c>
      <c r="FR5" s="6"/>
      <c r="FS5" s="6">
        <f t="shared" si="82"/>
        <v>-23288.5</v>
      </c>
      <c r="FT5" s="6">
        <f t="shared" si="83"/>
        <v>-71.156025473835001</v>
      </c>
      <c r="FU5" s="6">
        <v>817847.2</v>
      </c>
      <c r="FV5" s="6">
        <f t="shared" si="84"/>
        <v>2020.0825839999998</v>
      </c>
      <c r="FW5" s="6">
        <v>824156.7</v>
      </c>
      <c r="FX5" s="6">
        <f t="shared" si="85"/>
        <v>2035.6670489999999</v>
      </c>
      <c r="FY5" s="6">
        <f t="shared" si="86"/>
        <v>-15.584465</v>
      </c>
      <c r="GA5" s="5">
        <v>46056</v>
      </c>
      <c r="GB5" s="6">
        <v>623028.80000000005</v>
      </c>
      <c r="GC5" s="6">
        <f t="shared" si="87"/>
        <v>1903.6113602736482</v>
      </c>
      <c r="GD5" s="6">
        <v>645354.30000000005</v>
      </c>
      <c r="GE5" s="6">
        <f t="shared" si="88"/>
        <v>1971.825021381753</v>
      </c>
      <c r="GF5" s="6">
        <f t="shared" si="89"/>
        <v>3875.4363816554014</v>
      </c>
      <c r="GG5" s="6"/>
      <c r="GH5" s="6">
        <f t="shared" si="90"/>
        <v>-22325.5</v>
      </c>
      <c r="GI5" s="6">
        <f t="shared" si="91"/>
        <v>-68.213661108105001</v>
      </c>
      <c r="GJ5" s="6">
        <v>781070.9</v>
      </c>
      <c r="GK5" s="6">
        <f t="shared" si="92"/>
        <v>1929.2451230000001</v>
      </c>
      <c r="GL5" s="6">
        <v>785594.5</v>
      </c>
      <c r="GM5" s="6">
        <f t="shared" si="93"/>
        <v>1940.4184149999999</v>
      </c>
      <c r="GN5" s="6">
        <f t="shared" si="94"/>
        <v>-11.173291999999943</v>
      </c>
      <c r="GP5" s="5">
        <v>46056</v>
      </c>
      <c r="GQ5" s="6">
        <v>649088.5</v>
      </c>
      <c r="GR5" s="6">
        <f t="shared" si="95"/>
        <v>1983.2345509918352</v>
      </c>
      <c r="GS5" s="6">
        <v>666007</v>
      </c>
      <c r="GT5" s="6">
        <f t="shared" si="96"/>
        <v>2034.9275847629699</v>
      </c>
      <c r="GU5" s="6">
        <f t="shared" si="97"/>
        <v>4018.1621357548051</v>
      </c>
      <c r="GV5" s="6"/>
      <c r="GW5" s="6">
        <f t="shared" si="98"/>
        <v>-16918.5</v>
      </c>
      <c r="GX5" s="6">
        <f t="shared" si="99"/>
        <v>-51.693033771134999</v>
      </c>
      <c r="GY5" s="6">
        <v>469.28840000000002</v>
      </c>
      <c r="GZ5" s="6">
        <f t="shared" si="100"/>
        <v>2002.4536028000002</v>
      </c>
      <c r="HA5" s="6">
        <v>476.22660000000002</v>
      </c>
      <c r="HB5" s="6">
        <f t="shared" si="101"/>
        <v>2032.0589022000001</v>
      </c>
      <c r="HC5" s="6">
        <f t="shared" ref="HC5:HC30" si="207">(GY5-HA5)*H5</f>
        <v>-29.605299399999982</v>
      </c>
      <c r="HE5" s="5">
        <v>46056</v>
      </c>
      <c r="HF5" s="6">
        <v>683958.6</v>
      </c>
      <c r="HG5" s="6">
        <f t="shared" si="102"/>
        <v>2089.7771674710057</v>
      </c>
      <c r="HH5" s="6">
        <v>693262.5</v>
      </c>
      <c r="HI5" s="6">
        <f t="shared" si="103"/>
        <v>2118.2044403913746</v>
      </c>
      <c r="HJ5" s="6">
        <f t="shared" si="104"/>
        <v>4207.9816078623808</v>
      </c>
      <c r="HK5" s="6"/>
      <c r="HL5" s="6">
        <f t="shared" si="105"/>
        <v>-9303.9000000000233</v>
      </c>
      <c r="HM5" s="6">
        <f t="shared" si="106"/>
        <v>-28.42727292036907</v>
      </c>
      <c r="HN5" s="6">
        <v>488.40339999999998</v>
      </c>
      <c r="HO5" s="6">
        <f t="shared" si="107"/>
        <v>2084.0173078000003</v>
      </c>
      <c r="HP5" s="6">
        <v>501.79469999999998</v>
      </c>
      <c r="HQ5" s="6">
        <f t="shared" si="108"/>
        <v>2141.1579849</v>
      </c>
      <c r="HR5" s="6">
        <f t="shared" si="109"/>
        <v>-57.140677100000012</v>
      </c>
      <c r="HT5" s="5">
        <v>46056</v>
      </c>
      <c r="HU5" s="6">
        <v>665943.69999999995</v>
      </c>
      <c r="HV5" s="6">
        <f t="shared" si="110"/>
        <v>2034.7341770118269</v>
      </c>
      <c r="HW5" s="6">
        <v>686918.5</v>
      </c>
      <c r="HX5" s="6">
        <f t="shared" si="111"/>
        <v>2098.8208894711352</v>
      </c>
      <c r="HY5" s="6">
        <f t="shared" si="112"/>
        <v>4133.5550664829625</v>
      </c>
      <c r="HZ5" s="6"/>
      <c r="IA5" s="6">
        <f t="shared" si="113"/>
        <v>-20974.800000000047</v>
      </c>
      <c r="IB5" s="6">
        <f t="shared" si="114"/>
        <v>-64.086712459308146</v>
      </c>
      <c r="IC5" s="6">
        <v>3.2787760000000001</v>
      </c>
      <c r="ID5" s="6">
        <f t="shared" si="115"/>
        <v>2061.72713656</v>
      </c>
      <c r="IE5" s="6">
        <v>3.3084720000000001</v>
      </c>
      <c r="IF5" s="6">
        <f t="shared" si="116"/>
        <v>2080.4002783199999</v>
      </c>
      <c r="IG5" s="6">
        <f t="shared" si="117"/>
        <v>-18.673141759999965</v>
      </c>
      <c r="II5" s="5">
        <v>46056</v>
      </c>
      <c r="IJ5" s="6">
        <v>692705.9</v>
      </c>
      <c r="IK5" s="6">
        <f t="shared" si="118"/>
        <v>2116.5037965637889</v>
      </c>
      <c r="IL5" s="6">
        <v>695374.9</v>
      </c>
      <c r="IM5" s="6">
        <f t="shared" si="119"/>
        <v>2124.6586984247792</v>
      </c>
      <c r="IN5" s="6">
        <f t="shared" si="120"/>
        <v>4241.1624949885681</v>
      </c>
      <c r="IO5" s="6"/>
      <c r="IP5" s="6">
        <f t="shared" si="121"/>
        <v>-2669</v>
      </c>
      <c r="IQ5" s="6">
        <f t="shared" si="122"/>
        <v>-8.1549018609899999</v>
      </c>
      <c r="IR5" s="6">
        <v>3.3189600000000001</v>
      </c>
      <c r="IS5" s="6">
        <f t="shared" si="123"/>
        <v>2086.9952376000001</v>
      </c>
      <c r="IT5" s="6">
        <v>3.4419409999999999</v>
      </c>
      <c r="IU5" s="6">
        <f t="shared" si="124"/>
        <v>2164.3269202099996</v>
      </c>
      <c r="IV5" s="6">
        <f t="shared" si="125"/>
        <v>-77.331682609999859</v>
      </c>
      <c r="IX5" s="5">
        <v>46056</v>
      </c>
      <c r="IY5" s="6">
        <v>981841.7</v>
      </c>
      <c r="IZ5" s="6">
        <f t="shared" si="126"/>
        <v>2999.933573071407</v>
      </c>
      <c r="JA5" s="6">
        <v>954879.1</v>
      </c>
      <c r="JB5" s="6">
        <f t="shared" si="127"/>
        <v>2917.551648411561</v>
      </c>
      <c r="JC5" s="6">
        <f t="shared" si="128"/>
        <v>5917.485221482968</v>
      </c>
      <c r="JD5" s="6"/>
      <c r="JE5" s="6">
        <f t="shared" si="129"/>
        <v>26962.599999999977</v>
      </c>
      <c r="JF5" s="6">
        <f t="shared" si="130"/>
        <v>82.381924659845922</v>
      </c>
      <c r="JG5" s="6">
        <v>20.680959999999999</v>
      </c>
      <c r="JH5" s="6">
        <f t="shared" si="131"/>
        <v>2938.9712256000003</v>
      </c>
      <c r="JI5" s="6">
        <v>21.68892</v>
      </c>
      <c r="JJ5" s="6">
        <f t="shared" si="132"/>
        <v>3082.2124212000003</v>
      </c>
      <c r="JK5" s="6">
        <f t="shared" si="133"/>
        <v>-143.24119560000011</v>
      </c>
      <c r="JM5" s="5">
        <v>46056</v>
      </c>
      <c r="JN5" s="6">
        <v>964721.8</v>
      </c>
      <c r="JO5" s="6">
        <f t="shared" si="134"/>
        <v>2947.6251787776782</v>
      </c>
      <c r="JP5" s="6">
        <v>931138.7</v>
      </c>
      <c r="JQ5" s="6">
        <f t="shared" si="135"/>
        <v>2845.0148810302767</v>
      </c>
      <c r="JR5" s="6">
        <f t="shared" si="136"/>
        <v>5792.6400598079545</v>
      </c>
      <c r="JS5" s="6"/>
      <c r="JT5" s="6">
        <f t="shared" si="137"/>
        <v>33583.100000000093</v>
      </c>
      <c r="JU5" s="6">
        <f t="shared" si="138"/>
        <v>102.61029774740129</v>
      </c>
      <c r="JV5" s="6">
        <v>20.176220000000001</v>
      </c>
      <c r="JW5" s="6">
        <f t="shared" si="139"/>
        <v>2867.2426242000006</v>
      </c>
      <c r="JX5" s="6">
        <v>21.335139999999999</v>
      </c>
      <c r="JY5" s="6">
        <f t="shared" si="140"/>
        <v>3031.9367454000003</v>
      </c>
      <c r="JZ5" s="6">
        <f t="shared" si="141"/>
        <v>-164.69412119999978</v>
      </c>
      <c r="KB5" s="5">
        <v>46056</v>
      </c>
      <c r="KC5" s="6">
        <v>984686.11223776801</v>
      </c>
      <c r="KD5" s="6">
        <f t="shared" si="142"/>
        <v>3008.6244320639876</v>
      </c>
      <c r="KE5" s="6">
        <v>943324.1708163541</v>
      </c>
      <c r="KF5" s="6">
        <f t="shared" si="143"/>
        <v>2882.2465478108411</v>
      </c>
      <c r="KG5" s="6">
        <f t="shared" si="144"/>
        <v>5890.8709798748287</v>
      </c>
      <c r="KH5" s="6"/>
      <c r="KI5" s="6">
        <f t="shared" si="145"/>
        <v>41361.941421413911</v>
      </c>
      <c r="KJ5" s="6">
        <f t="shared" si="146"/>
        <v>126.37788425314636</v>
      </c>
      <c r="KK5" s="6">
        <v>4.1450603380000004</v>
      </c>
      <c r="KL5" s="6">
        <f t="shared" si="147"/>
        <v>2894.2054798017402</v>
      </c>
      <c r="KM5" s="6">
        <v>4.4141425710000002</v>
      </c>
      <c r="KN5" s="6">
        <f t="shared" si="148"/>
        <v>3082.0867673493303</v>
      </c>
      <c r="KO5" s="6">
        <f t="shared" si="149"/>
        <v>-187.88128754758986</v>
      </c>
      <c r="KQ5" s="5">
        <v>46056</v>
      </c>
      <c r="KR5" s="6">
        <v>971466.72144547803</v>
      </c>
      <c r="KS5" s="6">
        <f t="shared" si="150"/>
        <v>2968.233710979986</v>
      </c>
      <c r="KT5" s="6">
        <v>943243.43302302109</v>
      </c>
      <c r="KU5" s="6">
        <f t="shared" si="151"/>
        <v>2881.9998603694385</v>
      </c>
      <c r="KV5" s="6">
        <f t="shared" si="152"/>
        <v>5850.2335713494249</v>
      </c>
      <c r="KW5" s="6"/>
      <c r="KX5" s="6">
        <f t="shared" si="153"/>
        <v>28223.288422456942</v>
      </c>
      <c r="KY5" s="6">
        <f t="shared" si="154"/>
        <v>86.233850610547648</v>
      </c>
      <c r="KZ5" s="6">
        <v>4.1452285549999992</v>
      </c>
      <c r="LA5" s="6">
        <f t="shared" si="155"/>
        <v>2894.3229339576496</v>
      </c>
      <c r="LB5" s="6">
        <v>4.3578168649999993</v>
      </c>
      <c r="LC5" s="6">
        <f t="shared" si="156"/>
        <v>3042.7584696489498</v>
      </c>
      <c r="LD5" s="6">
        <f t="shared" si="157"/>
        <v>-148.43553569130009</v>
      </c>
      <c r="LF5" s="5">
        <v>46056</v>
      </c>
      <c r="LG5" s="6">
        <v>896241.52713353198</v>
      </c>
      <c r="LH5" s="6">
        <f t="shared" si="158"/>
        <v>2738.3895457166577</v>
      </c>
      <c r="LI5" s="6">
        <v>840060.72651875915</v>
      </c>
      <c r="LJ5" s="6">
        <f t="shared" si="159"/>
        <v>2566.7339010987039</v>
      </c>
      <c r="LK5" s="6">
        <f t="shared" si="160"/>
        <v>5305.1234468153616</v>
      </c>
      <c r="LL5" s="6"/>
      <c r="LM5" s="6">
        <f t="shared" si="161"/>
        <v>56180.80061477283</v>
      </c>
      <c r="LN5" s="6">
        <f t="shared" si="162"/>
        <v>171.65564461795395</v>
      </c>
      <c r="LO5" s="6">
        <v>43.243573609999991</v>
      </c>
      <c r="LP5" s="6">
        <f t="shared" si="163"/>
        <v>2590.2900592389992</v>
      </c>
      <c r="LQ5" s="6">
        <v>47.283491060000003</v>
      </c>
      <c r="LR5" s="6">
        <f t="shared" si="164"/>
        <v>2832.2811144940001</v>
      </c>
      <c r="LS5" s="6">
        <f t="shared" si="165"/>
        <v>-241.99105525500067</v>
      </c>
      <c r="LU5" s="5">
        <v>46056</v>
      </c>
      <c r="LV5" s="6">
        <v>650643.35067236901</v>
      </c>
      <c r="LW5" s="6">
        <f t="shared" si="166"/>
        <v>1987.9852646080449</v>
      </c>
      <c r="LX5" s="6">
        <v>611727.02370380005</v>
      </c>
      <c r="LY5" s="6">
        <f t="shared" si="167"/>
        <v>1869.0797467291095</v>
      </c>
      <c r="LZ5" s="6">
        <f t="shared" si="168"/>
        <v>3857.0650113371544</v>
      </c>
      <c r="MA5" s="6"/>
      <c r="MB5" s="6">
        <f t="shared" si="169"/>
        <v>38916.326968568959</v>
      </c>
      <c r="MC5" s="6">
        <f t="shared" si="170"/>
        <v>118.9055178789353</v>
      </c>
      <c r="MD5" s="6">
        <v>31.63437798</v>
      </c>
      <c r="ME5" s="6">
        <f t="shared" si="171"/>
        <v>1894.8992410020001</v>
      </c>
      <c r="MF5" s="6">
        <v>34.574488579999993</v>
      </c>
      <c r="MG5" s="6">
        <f t="shared" si="172"/>
        <v>2071.0118659419995</v>
      </c>
      <c r="MH5" s="6">
        <f t="shared" si="173"/>
        <v>-176.11262493999959</v>
      </c>
      <c r="MJ5" s="5">
        <v>46056</v>
      </c>
      <c r="MK5" s="6">
        <v>974462.6</v>
      </c>
      <c r="ML5" s="6">
        <f t="shared" si="174"/>
        <v>2977.3873623848458</v>
      </c>
      <c r="MM5" s="6">
        <v>943433.4</v>
      </c>
      <c r="MN5" s="6">
        <f t="shared" si="175"/>
        <v>2882.5802882653143</v>
      </c>
      <c r="MO5" s="6">
        <f t="shared" si="176"/>
        <v>5859.9676506501601</v>
      </c>
      <c r="MP5" s="6"/>
      <c r="MQ5" s="6">
        <f t="shared" si="177"/>
        <v>31029.199999999953</v>
      </c>
      <c r="MR5" s="6">
        <f t="shared" si="178"/>
        <v>94.807074119531862</v>
      </c>
      <c r="MS5" s="6">
        <v>8.1551189999999991</v>
      </c>
      <c r="MT5" s="6">
        <f t="shared" si="179"/>
        <v>2857.0643904599997</v>
      </c>
      <c r="MU5" s="18">
        <v>8.5936240000000002</v>
      </c>
      <c r="MV5" s="6">
        <f t="shared" si="180"/>
        <v>3010.6902321600001</v>
      </c>
      <c r="MW5" s="6">
        <f t="shared" si="181"/>
        <v>-153.62584170000036</v>
      </c>
      <c r="MY5" s="5">
        <v>46056</v>
      </c>
      <c r="MZ5" s="6">
        <v>958521.8</v>
      </c>
      <c r="NA5" s="6">
        <f t="shared" si="182"/>
        <v>2928.6816075756783</v>
      </c>
      <c r="NB5" s="6">
        <v>916495.7</v>
      </c>
      <c r="NC5" s="6">
        <f t="shared" si="183"/>
        <v>2800.2744434317469</v>
      </c>
      <c r="ND5" s="6">
        <f t="shared" si="184"/>
        <v>5728.9560510074252</v>
      </c>
      <c r="NE5" s="6"/>
      <c r="NF5" s="6">
        <f t="shared" si="185"/>
        <v>42026.100000000093</v>
      </c>
      <c r="NG5" s="6">
        <f t="shared" si="186"/>
        <v>128.40716414393128</v>
      </c>
      <c r="NH5" s="6">
        <v>7.9219140000000001</v>
      </c>
      <c r="NI5" s="6">
        <f t="shared" si="187"/>
        <v>2775.3633507599998</v>
      </c>
      <c r="NJ5" s="6">
        <v>8.4573110000000007</v>
      </c>
      <c r="NK5" s="6">
        <f t="shared" si="188"/>
        <v>2962.9343357399998</v>
      </c>
      <c r="NL5" s="6">
        <f t="shared" si="189"/>
        <v>-187.57098498000019</v>
      </c>
      <c r="NN5" s="5">
        <v>46056</v>
      </c>
      <c r="NO5" s="6">
        <v>943647.3</v>
      </c>
      <c r="NP5" s="6">
        <f t="shared" si="190"/>
        <v>2883.2338414717833</v>
      </c>
      <c r="NQ5" s="6">
        <v>932207.2</v>
      </c>
      <c r="NR5" s="6">
        <f t="shared" si="191"/>
        <v>2848.2795916479122</v>
      </c>
      <c r="NS5" s="6">
        <f t="shared" si="192"/>
        <v>5731.513433119695</v>
      </c>
      <c r="NT5" s="6"/>
      <c r="NU5" s="6">
        <f t="shared" si="193"/>
        <v>11440.100000000093</v>
      </c>
      <c r="NV5" s="6">
        <f t="shared" si="194"/>
        <v>34.954249823871287</v>
      </c>
      <c r="NW5" s="6">
        <v>359019.8</v>
      </c>
      <c r="NX5" s="6">
        <f t="shared" si="195"/>
        <v>2782.4034499999998</v>
      </c>
      <c r="NY5" s="6">
        <v>378373.5</v>
      </c>
      <c r="NZ5" s="6">
        <f t="shared" si="196"/>
        <v>2932.3946249999999</v>
      </c>
      <c r="OA5" s="6">
        <f t="shared" si="197"/>
        <v>-149.99117500000008</v>
      </c>
      <c r="OC5" s="5">
        <v>46056</v>
      </c>
      <c r="OD5" s="6">
        <v>925857.7</v>
      </c>
      <c r="OE5" s="6">
        <f t="shared" si="198"/>
        <v>2828.879235946767</v>
      </c>
      <c r="OF5" s="6">
        <v>902384.1</v>
      </c>
      <c r="OG5" s="6">
        <f t="shared" si="199"/>
        <v>2757.1576532101108</v>
      </c>
      <c r="OH5" s="6">
        <f t="shared" si="200"/>
        <v>5586.0368891568778</v>
      </c>
      <c r="OI5" s="6"/>
      <c r="OJ5" s="6">
        <f t="shared" si="201"/>
        <v>23473.599999999977</v>
      </c>
      <c r="OK5" s="6">
        <f t="shared" si="202"/>
        <v>71.721582736655932</v>
      </c>
      <c r="OL5" s="6">
        <v>347418</v>
      </c>
      <c r="OM5" s="6">
        <f t="shared" si="203"/>
        <v>2692.4895000000001</v>
      </c>
      <c r="ON5" s="6">
        <v>371191.7</v>
      </c>
      <c r="OO5" s="6">
        <f t="shared" si="204"/>
        <v>2876.7356749999999</v>
      </c>
      <c r="OP5" s="6">
        <f t="shared" si="205"/>
        <v>-184.24617500000008</v>
      </c>
    </row>
    <row r="6" spans="1:406" x14ac:dyDescent="0.2">
      <c r="A6" s="5">
        <v>46057</v>
      </c>
      <c r="B6" s="10">
        <v>179.32</v>
      </c>
      <c r="C6" s="6">
        <v>86.99</v>
      </c>
      <c r="D6" s="6">
        <v>179.81</v>
      </c>
      <c r="E6" s="6">
        <v>464.18</v>
      </c>
      <c r="F6" s="6">
        <v>420.09</v>
      </c>
      <c r="G6" s="2">
        <v>2.4299999999999999E-3</v>
      </c>
      <c r="H6" s="6">
        <v>4.258</v>
      </c>
      <c r="I6" s="6">
        <v>617.47</v>
      </c>
      <c r="J6" s="6">
        <v>132.74</v>
      </c>
      <c r="K6" s="6">
        <v>690.71</v>
      </c>
      <c r="L6" s="6">
        <v>55.93</v>
      </c>
      <c r="M6" s="6">
        <v>344.14</v>
      </c>
      <c r="N6" s="6">
        <v>7.5700000000000003E-3</v>
      </c>
      <c r="O6" s="6">
        <v>98.775999999999996</v>
      </c>
      <c r="P6" s="7">
        <v>3.0380000000000001E-5</v>
      </c>
      <c r="R6" s="5">
        <v>46057</v>
      </c>
      <c r="S6" s="6">
        <v>899897.64851712505</v>
      </c>
      <c r="T6" s="6">
        <f t="shared" si="0"/>
        <v>2700.4262541471985</v>
      </c>
      <c r="U6" s="6">
        <v>963352.86620147107</v>
      </c>
      <c r="V6" s="6">
        <f t="shared" si="1"/>
        <v>2890.8436155880231</v>
      </c>
      <c r="W6" s="6">
        <f t="shared" si="2"/>
        <v>5591.2698697352216</v>
      </c>
      <c r="X6" s="6"/>
      <c r="Y6" s="6">
        <f t="shared" si="3"/>
        <v>-63455.217684346018</v>
      </c>
      <c r="Z6" s="6">
        <f t="shared" si="4"/>
        <v>-190.41736144082466</v>
      </c>
      <c r="AA6" s="6">
        <v>16.04016077</v>
      </c>
      <c r="AB6" s="6">
        <f t="shared" si="5"/>
        <v>2876.3216292764</v>
      </c>
      <c r="AC6" s="6">
        <v>15.29311025</v>
      </c>
      <c r="AD6" s="6">
        <f t="shared" si="6"/>
        <v>2742.3605300300001</v>
      </c>
      <c r="AE6" s="6">
        <f t="shared" si="7"/>
        <v>133.96109924640001</v>
      </c>
      <c r="AG6" s="5">
        <v>46057</v>
      </c>
      <c r="AH6" s="6">
        <v>892337.81647095794</v>
      </c>
      <c r="AI6" s="6">
        <f t="shared" si="8"/>
        <v>2677.7405976527598</v>
      </c>
      <c r="AJ6" s="6">
        <v>964548.03498871101</v>
      </c>
      <c r="AK6" s="6">
        <f t="shared" si="9"/>
        <v>2894.4300958688846</v>
      </c>
      <c r="AL6" s="6">
        <f t="shared" si="10"/>
        <v>5572.1706935216444</v>
      </c>
      <c r="AM6" s="6"/>
      <c r="AN6" s="6">
        <f t="shared" si="11"/>
        <v>-72210.218517753063</v>
      </c>
      <c r="AO6" s="6">
        <f t="shared" si="12"/>
        <v>-216.68949821612495</v>
      </c>
      <c r="AP6" s="6">
        <v>16.053734479999999</v>
      </c>
      <c r="AQ6" s="6">
        <f t="shared" si="13"/>
        <v>2878.7556669535998</v>
      </c>
      <c r="AR6" s="6">
        <v>15.15676169</v>
      </c>
      <c r="AS6" s="6">
        <f t="shared" si="14"/>
        <v>2717.9105062507997</v>
      </c>
      <c r="AT6" s="6">
        <f t="shared" si="15"/>
        <v>160.84516070279992</v>
      </c>
      <c r="AV6" s="5">
        <v>46057</v>
      </c>
      <c r="AW6" s="6">
        <v>916921.61948601506</v>
      </c>
      <c r="AX6" s="6">
        <f t="shared" si="16"/>
        <v>2751.5120395473318</v>
      </c>
      <c r="AY6" s="6">
        <v>965198.37215250288</v>
      </c>
      <c r="AZ6" s="6">
        <f t="shared" si="17"/>
        <v>2896.3816373070081</v>
      </c>
      <c r="BA6" s="6">
        <f t="shared" si="18"/>
        <v>5647.8936768543399</v>
      </c>
      <c r="BB6" s="6"/>
      <c r="BC6" s="6">
        <f t="shared" si="206"/>
        <v>-48276.752666487824</v>
      </c>
      <c r="BD6" s="6">
        <f t="shared" si="19"/>
        <v>-144.86959775967634</v>
      </c>
      <c r="BE6" s="6">
        <v>33.53221155</v>
      </c>
      <c r="BF6" s="6">
        <f t="shared" si="20"/>
        <v>2916.9670827344999</v>
      </c>
      <c r="BG6" s="6">
        <v>32.555738699999999</v>
      </c>
      <c r="BH6" s="6">
        <f t="shared" si="21"/>
        <v>2832.0237095129996</v>
      </c>
      <c r="BI6" s="6">
        <f t="shared" si="22"/>
        <v>84.943373221500025</v>
      </c>
      <c r="BK6" s="5">
        <v>46057</v>
      </c>
      <c r="BL6" s="6">
        <v>879324.54646670795</v>
      </c>
      <c r="BM6" s="6">
        <f t="shared" si="23"/>
        <v>2638.6901833865486</v>
      </c>
      <c r="BN6" s="6">
        <v>940316.41351739399</v>
      </c>
      <c r="BO6" s="6">
        <f t="shared" si="24"/>
        <v>2821.715485591229</v>
      </c>
      <c r="BP6" s="6">
        <f t="shared" si="25"/>
        <v>5460.4056689777772</v>
      </c>
      <c r="BQ6" s="6"/>
      <c r="BR6" s="6">
        <f t="shared" si="26"/>
        <v>-60991.867050686036</v>
      </c>
      <c r="BS6" s="6">
        <f t="shared" si="27"/>
        <v>-183.02530220468037</v>
      </c>
      <c r="BT6" s="6">
        <v>32.670392589999999</v>
      </c>
      <c r="BU6" s="6">
        <f t="shared" si="28"/>
        <v>2841.9974514040996</v>
      </c>
      <c r="BV6" s="6">
        <v>31.21356238000001</v>
      </c>
      <c r="BW6" s="6">
        <f t="shared" si="29"/>
        <v>2715.2677914362007</v>
      </c>
      <c r="BX6" s="6">
        <f t="shared" si="30"/>
        <v>126.72965996789904</v>
      </c>
      <c r="BZ6" s="5">
        <v>46057</v>
      </c>
      <c r="CA6" s="6">
        <v>967585.53223908995</v>
      </c>
      <c r="CB6" s="6">
        <f t="shared" si="31"/>
        <v>2903.545062815781</v>
      </c>
      <c r="CC6" s="6">
        <v>914705.67561251298</v>
      </c>
      <c r="CD6" s="6">
        <f t="shared" si="32"/>
        <v>2744.862402198482</v>
      </c>
      <c r="CE6" s="6">
        <f t="shared" si="33"/>
        <v>5648.4074650142629</v>
      </c>
      <c r="CF6" s="6"/>
      <c r="CG6" s="6">
        <f t="shared" si="34"/>
        <v>52879.856626576977</v>
      </c>
      <c r="CH6" s="6">
        <f t="shared" si="35"/>
        <v>158.68266061729881</v>
      </c>
      <c r="CI6" s="6">
        <v>14.99747123</v>
      </c>
      <c r="CJ6" s="6">
        <f t="shared" si="36"/>
        <v>2696.6953018663003</v>
      </c>
      <c r="CK6" s="6">
        <v>16.18125564</v>
      </c>
      <c r="CL6" s="6">
        <f t="shared" si="37"/>
        <v>2909.5515766284002</v>
      </c>
      <c r="CM6" s="6">
        <f t="shared" si="38"/>
        <v>-212.8562747620999</v>
      </c>
      <c r="CO6" s="5">
        <v>46057</v>
      </c>
      <c r="CP6" s="6">
        <v>922234.48273532395</v>
      </c>
      <c r="CQ6" s="6">
        <f t="shared" si="39"/>
        <v>2767.4549586412631</v>
      </c>
      <c r="CR6" s="6">
        <v>902222.89582435321</v>
      </c>
      <c r="CS6" s="6">
        <f t="shared" si="40"/>
        <v>2707.4038908664088</v>
      </c>
      <c r="CT6" s="6">
        <f t="shared" si="41"/>
        <v>5474.8588495076719</v>
      </c>
      <c r="CU6" s="6"/>
      <c r="CV6" s="6">
        <f t="shared" si="42"/>
        <v>20011.586910970742</v>
      </c>
      <c r="CW6" s="6">
        <f t="shared" si="43"/>
        <v>60.051067774854232</v>
      </c>
      <c r="CX6" s="6">
        <v>14.781465130000001</v>
      </c>
      <c r="CY6" s="6">
        <f t="shared" si="44"/>
        <v>2657.8552450253001</v>
      </c>
      <c r="CZ6" s="6">
        <v>15.423582619999999</v>
      </c>
      <c r="DA6" s="6">
        <f t="shared" si="45"/>
        <v>2773.3143909022001</v>
      </c>
      <c r="DB6" s="6">
        <f t="shared" si="46"/>
        <v>-115.45914587689975</v>
      </c>
      <c r="DD6" s="5">
        <v>46057</v>
      </c>
      <c r="DE6" s="6">
        <v>924936.08168145991</v>
      </c>
      <c r="DF6" s="6">
        <f t="shared" si="47"/>
        <v>2775.5619569586202</v>
      </c>
      <c r="DG6" s="6">
        <v>971195.16213525296</v>
      </c>
      <c r="DH6" s="6">
        <f t="shared" si="48"/>
        <v>2914.3768939194797</v>
      </c>
      <c r="DI6" s="6">
        <f t="shared" si="49"/>
        <v>5689.9388508780994</v>
      </c>
      <c r="DJ6" s="6"/>
      <c r="DK6" s="6">
        <f t="shared" si="50"/>
        <v>-46259.080453793053</v>
      </c>
      <c r="DL6" s="6">
        <f t="shared" si="51"/>
        <v>-138.81493696085934</v>
      </c>
      <c r="DM6" s="6">
        <v>6.15399327</v>
      </c>
      <c r="DN6" s="6">
        <f t="shared" si="52"/>
        <v>2856.5605960685998</v>
      </c>
      <c r="DO6" s="6">
        <v>5.9739470600000004</v>
      </c>
      <c r="DP6" s="6">
        <f t="shared" si="53"/>
        <v>2772.9867463108003</v>
      </c>
      <c r="DQ6" s="6">
        <f t="shared" si="54"/>
        <v>83.573849757799792</v>
      </c>
      <c r="DS6" s="5">
        <v>46057</v>
      </c>
      <c r="DT6" s="6">
        <v>888181.1255654851</v>
      </c>
      <c r="DU6" s="6">
        <f t="shared" si="55"/>
        <v>2665.2671377320562</v>
      </c>
      <c r="DV6" s="6">
        <v>954786.74014402798</v>
      </c>
      <c r="DW6" s="6">
        <f t="shared" si="56"/>
        <v>2865.1382570508927</v>
      </c>
      <c r="DX6" s="6">
        <f t="shared" si="57"/>
        <v>5530.4053947829489</v>
      </c>
      <c r="DY6" s="6"/>
      <c r="DZ6" s="6">
        <f t="shared" si="58"/>
        <v>-66605.614578542882</v>
      </c>
      <c r="EA6" s="6">
        <f t="shared" si="59"/>
        <v>-199.87111931883641</v>
      </c>
      <c r="EB6" s="6">
        <v>6.0476518600000002</v>
      </c>
      <c r="EC6" s="6">
        <f t="shared" si="60"/>
        <v>2807.1990403748</v>
      </c>
      <c r="ED6" s="6">
        <v>5.7381814599999998</v>
      </c>
      <c r="EE6" s="6">
        <f t="shared" si="61"/>
        <v>2663.5490701027998</v>
      </c>
      <c r="EF6" s="6">
        <f t="shared" si="62"/>
        <v>143.64997027200016</v>
      </c>
      <c r="EH6" s="5">
        <v>46057</v>
      </c>
      <c r="EI6" s="6">
        <v>2518169</v>
      </c>
      <c r="EJ6" s="6">
        <f t="shared" si="63"/>
        <v>7556.5590055547209</v>
      </c>
      <c r="EK6" s="6">
        <v>2596830</v>
      </c>
      <c r="EL6" s="6">
        <f t="shared" si="64"/>
        <v>7792.6061048304</v>
      </c>
      <c r="EM6" s="6">
        <f t="shared" si="65"/>
        <v>15349.165110385122</v>
      </c>
      <c r="EN6" s="6"/>
      <c r="EO6" s="6">
        <f t="shared" si="66"/>
        <v>-78661</v>
      </c>
      <c r="EP6" s="6">
        <f>EO6*P6*O6</f>
        <v>-236.04709927567998</v>
      </c>
      <c r="EQ6" s="6">
        <v>18.39997</v>
      </c>
      <c r="ER6" s="6">
        <f t="shared" si="68"/>
        <v>7729.6433972999994</v>
      </c>
      <c r="ES6" s="6">
        <v>17.941939999999999</v>
      </c>
      <c r="ET6" s="6">
        <f t="shared" si="69"/>
        <v>7537.2295745999991</v>
      </c>
      <c r="EU6" s="6">
        <f t="shared" si="70"/>
        <v>192.41382270000034</v>
      </c>
      <c r="EW6" s="5">
        <v>46057</v>
      </c>
      <c r="EX6" s="6">
        <v>2450886</v>
      </c>
      <c r="EY6" s="6">
        <f t="shared" si="71"/>
        <v>7354.6551779836791</v>
      </c>
      <c r="EZ6" s="6">
        <v>2533823</v>
      </c>
      <c r="FA6" s="6">
        <f t="shared" si="72"/>
        <v>7603.5337616862398</v>
      </c>
      <c r="FB6" s="6">
        <f t="shared" si="73"/>
        <v>14958.188939669919</v>
      </c>
      <c r="FC6" s="6"/>
      <c r="FD6" s="6">
        <f>EX6-EZ6</f>
        <v>-82937</v>
      </c>
      <c r="FE6" s="6">
        <f t="shared" si="75"/>
        <v>-248.87858370256001</v>
      </c>
      <c r="FF6" s="6">
        <v>17.944109999999998</v>
      </c>
      <c r="FG6" s="6">
        <f t="shared" si="76"/>
        <v>7538.1411698999991</v>
      </c>
      <c r="FH6" s="6">
        <v>17.46752</v>
      </c>
      <c r="FI6" s="6">
        <f t="shared" si="77"/>
        <v>7337.9304767999993</v>
      </c>
      <c r="FJ6" s="6">
        <f t="shared" si="78"/>
        <v>200.21069309999919</v>
      </c>
      <c r="FL6" s="5">
        <v>46057</v>
      </c>
      <c r="FM6" s="6">
        <v>743529.2</v>
      </c>
      <c r="FN6" s="6">
        <f t="shared" si="79"/>
        <v>2231.1934870744958</v>
      </c>
      <c r="FO6" s="6">
        <v>700406.9</v>
      </c>
      <c r="FP6" s="6">
        <f t="shared" si="80"/>
        <v>2101.791447574672</v>
      </c>
      <c r="FQ6" s="6">
        <f t="shared" si="81"/>
        <v>4332.9849346491683</v>
      </c>
      <c r="FR6" s="6"/>
      <c r="FS6" s="6">
        <f t="shared" si="82"/>
        <v>43122.29999999993</v>
      </c>
      <c r="FT6" s="6">
        <f t="shared" si="83"/>
        <v>129.40203949982379</v>
      </c>
      <c r="FU6" s="6">
        <v>859984.4</v>
      </c>
      <c r="FV6" s="6">
        <f t="shared" si="84"/>
        <v>2089.7620919999999</v>
      </c>
      <c r="FW6" s="6">
        <v>949137.1</v>
      </c>
      <c r="FX6" s="6">
        <f t="shared" si="85"/>
        <v>2306.4031529999997</v>
      </c>
      <c r="FY6" s="6">
        <f t="shared" si="86"/>
        <v>-216.64106099999987</v>
      </c>
      <c r="GA6" s="5">
        <v>46057</v>
      </c>
      <c r="GB6" s="6">
        <v>707822.8</v>
      </c>
      <c r="GC6" s="6">
        <f t="shared" si="87"/>
        <v>2124.045190643264</v>
      </c>
      <c r="GD6" s="6">
        <v>674738.2</v>
      </c>
      <c r="GE6" s="6">
        <f t="shared" si="88"/>
        <v>2024.7644306644156</v>
      </c>
      <c r="GF6" s="6">
        <f t="shared" si="89"/>
        <v>4148.8096213076797</v>
      </c>
      <c r="GG6" s="6"/>
      <c r="GH6" s="6">
        <f t="shared" si="90"/>
        <v>33084.600000000093</v>
      </c>
      <c r="GI6" s="6">
        <f t="shared" si="91"/>
        <v>99.28075997884828</v>
      </c>
      <c r="GJ6" s="6">
        <v>828336.9</v>
      </c>
      <c r="GK6" s="6">
        <f t="shared" si="92"/>
        <v>2012.858667</v>
      </c>
      <c r="GL6" s="6">
        <v>903685.8</v>
      </c>
      <c r="GM6" s="6">
        <f t="shared" si="93"/>
        <v>2195.956494</v>
      </c>
      <c r="GN6" s="6">
        <f t="shared" si="94"/>
        <v>-183.09782700000005</v>
      </c>
      <c r="GP6" s="5">
        <v>46057</v>
      </c>
      <c r="GQ6" s="6">
        <v>725161.9</v>
      </c>
      <c r="GR6" s="6">
        <f t="shared" si="95"/>
        <v>2176.076619929072</v>
      </c>
      <c r="GS6" s="6">
        <v>685449.5</v>
      </c>
      <c r="GT6" s="6">
        <f t="shared" si="96"/>
        <v>2056.9070590885599</v>
      </c>
      <c r="GU6" s="6">
        <f t="shared" si="97"/>
        <v>4232.9836790176323</v>
      </c>
      <c r="GV6" s="6"/>
      <c r="GW6" s="6">
        <f t="shared" si="98"/>
        <v>39712.400000000023</v>
      </c>
      <c r="GX6" s="6">
        <f t="shared" si="99"/>
        <v>119.16956084051206</v>
      </c>
      <c r="GY6" s="6">
        <v>479.62599999999998</v>
      </c>
      <c r="GZ6" s="6">
        <f t="shared" si="100"/>
        <v>2042.2475079999999</v>
      </c>
      <c r="HA6" s="6">
        <v>528.28049999999996</v>
      </c>
      <c r="HB6" s="6">
        <f t="shared" si="101"/>
        <v>2249.418369</v>
      </c>
      <c r="HC6" s="6">
        <f t="shared" si="207"/>
        <v>-207.17086099999995</v>
      </c>
      <c r="HE6" s="5">
        <v>46057</v>
      </c>
      <c r="HF6" s="6">
        <v>685538.1</v>
      </c>
      <c r="HG6" s="6">
        <f t="shared" si="102"/>
        <v>2057.1729312869279</v>
      </c>
      <c r="HH6" s="6">
        <v>656151.69999999995</v>
      </c>
      <c r="HI6" s="6">
        <f t="shared" si="103"/>
        <v>1968.989784897296</v>
      </c>
      <c r="HJ6" s="6">
        <f t="shared" si="104"/>
        <v>4026.1627161842239</v>
      </c>
      <c r="HK6" s="6"/>
      <c r="HL6" s="6">
        <f t="shared" si="105"/>
        <v>29386.400000000023</v>
      </c>
      <c r="HM6" s="6">
        <f t="shared" si="106"/>
        <v>88.183146389632071</v>
      </c>
      <c r="HN6" s="6">
        <v>458.88810000000001</v>
      </c>
      <c r="HO6" s="6">
        <f t="shared" si="107"/>
        <v>1953.9455298</v>
      </c>
      <c r="HP6" s="6">
        <v>499.41</v>
      </c>
      <c r="HQ6" s="6">
        <f t="shared" si="108"/>
        <v>2126.4877799999999</v>
      </c>
      <c r="HR6" s="6">
        <f t="shared" si="109"/>
        <v>-172.54225020000007</v>
      </c>
      <c r="HT6" s="5">
        <v>46057</v>
      </c>
      <c r="HU6" s="6">
        <v>744763.6</v>
      </c>
      <c r="HV6" s="6">
        <f t="shared" si="110"/>
        <v>2234.8976929623677</v>
      </c>
      <c r="HW6" s="6">
        <v>707262.4</v>
      </c>
      <c r="HX6" s="6">
        <f t="shared" si="111"/>
        <v>2122.3635339845118</v>
      </c>
      <c r="HY6" s="6">
        <f t="shared" si="112"/>
        <v>4357.2612269468791</v>
      </c>
      <c r="HZ6" s="6"/>
      <c r="IA6" s="6">
        <f t="shared" si="113"/>
        <v>37501.199999999953</v>
      </c>
      <c r="IB6" s="6">
        <f t="shared" si="114"/>
        <v>112.53415897785587</v>
      </c>
      <c r="IC6" s="6">
        <v>3.3431579999999999</v>
      </c>
      <c r="ID6" s="6">
        <f t="shared" si="115"/>
        <v>2064.2997702600001</v>
      </c>
      <c r="IE6" s="6">
        <v>3.6653120000000001</v>
      </c>
      <c r="IF6" s="6">
        <f t="shared" si="116"/>
        <v>2263.2202006400003</v>
      </c>
      <c r="IG6" s="6">
        <f t="shared" si="117"/>
        <v>-198.92043038000017</v>
      </c>
      <c r="II6" s="5">
        <v>46057</v>
      </c>
      <c r="IJ6" s="6">
        <v>728540.5</v>
      </c>
      <c r="IK6" s="6">
        <f t="shared" si="118"/>
        <v>2186.2151730826399</v>
      </c>
      <c r="IL6" s="6">
        <v>692300.9</v>
      </c>
      <c r="IM6" s="6">
        <f t="shared" si="119"/>
        <v>2077.466842157392</v>
      </c>
      <c r="IN6" s="6">
        <f t="shared" si="120"/>
        <v>4263.6820152400323</v>
      </c>
      <c r="IO6" s="6"/>
      <c r="IP6" s="6">
        <f t="shared" si="121"/>
        <v>36239.599999999977</v>
      </c>
      <c r="IQ6" s="6">
        <f t="shared" si="122"/>
        <v>108.74833092524793</v>
      </c>
      <c r="IR6" s="6">
        <v>3.2724039999999999</v>
      </c>
      <c r="IS6" s="6">
        <f t="shared" si="123"/>
        <v>2020.6112978799999</v>
      </c>
      <c r="IT6" s="6">
        <v>3.5855109999999999</v>
      </c>
      <c r="IU6" s="6">
        <f t="shared" si="124"/>
        <v>2213.9454771700002</v>
      </c>
      <c r="IV6" s="6">
        <f t="shared" si="125"/>
        <v>-193.33417929000004</v>
      </c>
      <c r="IX6" s="5">
        <v>46057</v>
      </c>
      <c r="IY6" s="6">
        <v>905880.5</v>
      </c>
      <c r="IZ6" s="6">
        <f t="shared" si="126"/>
        <v>2718.3796839018401</v>
      </c>
      <c r="JA6" s="6">
        <v>914235.5</v>
      </c>
      <c r="JB6" s="6">
        <f t="shared" si="127"/>
        <v>2743.4514922242397</v>
      </c>
      <c r="JC6" s="6">
        <f t="shared" si="128"/>
        <v>5461.8311761260793</v>
      </c>
      <c r="JD6" s="6"/>
      <c r="JE6" s="6">
        <f t="shared" si="129"/>
        <v>-8355</v>
      </c>
      <c r="JF6" s="6">
        <f t="shared" si="130"/>
        <v>-25.071808322400003</v>
      </c>
      <c r="JG6" s="6">
        <v>20.650230000000001</v>
      </c>
      <c r="JH6" s="6">
        <f t="shared" si="131"/>
        <v>2741.1115302000003</v>
      </c>
      <c r="JI6" s="6">
        <v>20.864509999999999</v>
      </c>
      <c r="JJ6" s="6">
        <f t="shared" si="132"/>
        <v>2769.5550573999999</v>
      </c>
      <c r="JK6" s="6">
        <f t="shared" si="133"/>
        <v>-28.443527199999828</v>
      </c>
      <c r="JM6" s="5">
        <v>46057</v>
      </c>
      <c r="JN6" s="6">
        <v>854086.4</v>
      </c>
      <c r="JO6" s="6">
        <f t="shared" si="134"/>
        <v>2562.9551779256321</v>
      </c>
      <c r="JP6" s="6">
        <v>868024.2</v>
      </c>
      <c r="JQ6" s="6">
        <f t="shared" si="135"/>
        <v>2604.779935560096</v>
      </c>
      <c r="JR6" s="6">
        <f t="shared" si="136"/>
        <v>5167.7351134857281</v>
      </c>
      <c r="JS6" s="6"/>
      <c r="JT6" s="6">
        <f t="shared" si="137"/>
        <v>-13937.79999999993</v>
      </c>
      <c r="JU6" s="6">
        <f t="shared" si="138"/>
        <v>-41.824757634463793</v>
      </c>
      <c r="JV6" s="6">
        <v>19.61083</v>
      </c>
      <c r="JW6" s="6">
        <f t="shared" si="139"/>
        <v>2603.1415742000004</v>
      </c>
      <c r="JX6" s="6">
        <v>19.687909999999999</v>
      </c>
      <c r="JY6" s="6">
        <f t="shared" si="140"/>
        <v>2613.3731733999998</v>
      </c>
      <c r="JZ6" s="6">
        <f t="shared" si="141"/>
        <v>-10.231599199999829</v>
      </c>
      <c r="KB6" s="5">
        <v>46057</v>
      </c>
      <c r="KC6" s="6">
        <v>869556.96806255099</v>
      </c>
      <c r="KD6" s="6">
        <f t="shared" si="142"/>
        <v>2609.3794887697877</v>
      </c>
      <c r="KE6" s="6">
        <v>895501.26666241908</v>
      </c>
      <c r="KF6" s="6">
        <f t="shared" si="143"/>
        <v>2687.233526059435</v>
      </c>
      <c r="KG6" s="6">
        <f t="shared" si="144"/>
        <v>5296.6130148292232</v>
      </c>
      <c r="KH6" s="6"/>
      <c r="KI6" s="6">
        <f t="shared" si="145"/>
        <v>-25944.298599868082</v>
      </c>
      <c r="KJ6" s="6">
        <f t="shared" si="146"/>
        <v>-77.854037289647309</v>
      </c>
      <c r="KK6" s="6">
        <v>3.8110298679999999</v>
      </c>
      <c r="KL6" s="6">
        <f t="shared" si="147"/>
        <v>2632.3164401262802</v>
      </c>
      <c r="KM6" s="6">
        <v>3.7810612159999999</v>
      </c>
      <c r="KN6" s="6">
        <f t="shared" si="148"/>
        <v>2611.6167925033601</v>
      </c>
      <c r="KO6" s="6">
        <f t="shared" si="149"/>
        <v>20.69964762291999</v>
      </c>
      <c r="KQ6" s="5">
        <v>46057</v>
      </c>
      <c r="KR6" s="6">
        <v>858870.9437793321</v>
      </c>
      <c r="KS6" s="6">
        <f t="shared" si="150"/>
        <v>2577.3127080926629</v>
      </c>
      <c r="KT6" s="6">
        <v>881651.86579035199</v>
      </c>
      <c r="KU6" s="6">
        <f t="shared" si="151"/>
        <v>2645.6740378434515</v>
      </c>
      <c r="KV6" s="6">
        <f t="shared" si="152"/>
        <v>5222.9867459361139</v>
      </c>
      <c r="KW6" s="6"/>
      <c r="KX6" s="6">
        <f t="shared" si="153"/>
        <v>-22780.922011019895</v>
      </c>
      <c r="KY6" s="6">
        <f t="shared" si="154"/>
        <v>-68.36132975078803</v>
      </c>
      <c r="KZ6" s="6">
        <v>3.753626755</v>
      </c>
      <c r="LA6" s="6">
        <f t="shared" si="155"/>
        <v>2592.6675359460501</v>
      </c>
      <c r="LB6" s="6">
        <v>3.7383382200000002</v>
      </c>
      <c r="LC6" s="6">
        <f t="shared" si="156"/>
        <v>2582.1075919362002</v>
      </c>
      <c r="LD6" s="6">
        <f t="shared" si="157"/>
        <v>10.559944009849881</v>
      </c>
      <c r="LF6" s="5">
        <v>46057</v>
      </c>
      <c r="LG6" s="6">
        <v>863593.77958882099</v>
      </c>
      <c r="LH6" s="6">
        <f t="shared" si="158"/>
        <v>2591.4850640655741</v>
      </c>
      <c r="LI6" s="6">
        <v>880610.16418865393</v>
      </c>
      <c r="LJ6" s="6">
        <f t="shared" si="159"/>
        <v>2642.5480841765557</v>
      </c>
      <c r="LK6" s="6">
        <f t="shared" si="160"/>
        <v>5234.0331482421298</v>
      </c>
      <c r="LL6" s="6"/>
      <c r="LM6" s="6">
        <f t="shared" si="161"/>
        <v>-17016.384599832934</v>
      </c>
      <c r="LN6" s="6">
        <f t="shared" si="162"/>
        <v>-51.063020110981519</v>
      </c>
      <c r="LO6" s="6">
        <v>46.63447816</v>
      </c>
      <c r="LP6" s="6">
        <f t="shared" si="163"/>
        <v>2608.2663634887999</v>
      </c>
      <c r="LQ6" s="6">
        <v>46.679349860000002</v>
      </c>
      <c r="LR6" s="6">
        <f t="shared" si="164"/>
        <v>2610.7760376698002</v>
      </c>
      <c r="LS6" s="6">
        <f t="shared" si="165"/>
        <v>-2.5096741810000909</v>
      </c>
      <c r="LU6" s="5">
        <v>46057</v>
      </c>
      <c r="LV6" s="6">
        <v>876875.78296086006</v>
      </c>
      <c r="LW6" s="6">
        <f t="shared" si="166"/>
        <v>2631.3418974205993</v>
      </c>
      <c r="LX6" s="6">
        <v>881756.19331230805</v>
      </c>
      <c r="LY6" s="6">
        <f t="shared" si="167"/>
        <v>2645.9871054237301</v>
      </c>
      <c r="LZ6" s="6">
        <f t="shared" si="168"/>
        <v>5277.3290028443298</v>
      </c>
      <c r="MA6" s="6"/>
      <c r="MB6" s="6">
        <f t="shared" si="169"/>
        <v>-4880.4103514479939</v>
      </c>
      <c r="MC6" s="6">
        <f t="shared" si="170"/>
        <v>-14.645208003131168</v>
      </c>
      <c r="MD6" s="6">
        <v>46.602965500000003</v>
      </c>
      <c r="ME6" s="6">
        <f t="shared" si="171"/>
        <v>2606.503860415</v>
      </c>
      <c r="MF6" s="6">
        <v>47.388567219999999</v>
      </c>
      <c r="MG6" s="6">
        <f t="shared" si="172"/>
        <v>2650.4425646146001</v>
      </c>
      <c r="MH6" s="6">
        <f>(MD6-MF6)*L6</f>
        <v>-43.938704199599741</v>
      </c>
      <c r="MJ6" s="5">
        <v>46057</v>
      </c>
      <c r="MK6" s="22">
        <v>853222.2</v>
      </c>
      <c r="ML6" s="6">
        <f t="shared" si="174"/>
        <v>2560.3618737063362</v>
      </c>
      <c r="MM6" s="6">
        <v>863556.2</v>
      </c>
      <c r="MN6" s="6">
        <f t="shared" si="175"/>
        <v>2591.3722946762559</v>
      </c>
      <c r="MO6" s="6">
        <f t="shared" si="176"/>
        <v>5151.7341683825925</v>
      </c>
      <c r="MP6" s="6"/>
      <c r="MQ6" s="6">
        <f t="shared" si="177"/>
        <v>-10334</v>
      </c>
      <c r="MR6" s="6">
        <f t="shared" si="178"/>
        <v>-31.010420969920002</v>
      </c>
      <c r="MS6" s="6">
        <v>7.4242280000000003</v>
      </c>
      <c r="MT6" s="6">
        <f t="shared" si="179"/>
        <v>2554.9738239200001</v>
      </c>
      <c r="MU6" s="6">
        <v>7.4857899999999997</v>
      </c>
      <c r="MV6" s="6">
        <f t="shared" si="180"/>
        <v>2576.1597705999998</v>
      </c>
      <c r="MW6" s="6">
        <f t="shared" si="181"/>
        <v>-21.185946679999809</v>
      </c>
      <c r="MY6" s="5">
        <v>46057</v>
      </c>
      <c r="MZ6" s="6">
        <v>840885.5</v>
      </c>
      <c r="NA6" s="6">
        <f t="shared" si="182"/>
        <v>2523.34172077624</v>
      </c>
      <c r="NB6" s="6">
        <v>854779.2</v>
      </c>
      <c r="NC6" s="6">
        <f t="shared" si="183"/>
        <v>2565.0341424744956</v>
      </c>
      <c r="ND6" s="6">
        <f t="shared" si="184"/>
        <v>5088.3758632507361</v>
      </c>
      <c r="NE6" s="6"/>
      <c r="NF6" s="6">
        <f t="shared" si="185"/>
        <v>-13893.699999999953</v>
      </c>
      <c r="NG6" s="6">
        <f t="shared" si="186"/>
        <v>-41.692421698255856</v>
      </c>
      <c r="NH6" s="6">
        <v>7.3479789999999996</v>
      </c>
      <c r="NI6" s="6">
        <f t="shared" si="187"/>
        <v>2528.7334930599995</v>
      </c>
      <c r="NJ6" s="6">
        <v>7.3817570000000003</v>
      </c>
      <c r="NK6" s="6">
        <f t="shared" si="188"/>
        <v>2540.3578539800001</v>
      </c>
      <c r="NL6" s="6">
        <f t="shared" si="189"/>
        <v>-11.624360920000258</v>
      </c>
      <c r="NN6" s="5">
        <v>46057</v>
      </c>
      <c r="NO6" s="6">
        <v>828278</v>
      </c>
      <c r="NP6" s="6">
        <f t="shared" si="190"/>
        <v>2485.50894717664</v>
      </c>
      <c r="NQ6" s="6">
        <v>841706.1</v>
      </c>
      <c r="NR6" s="6">
        <f t="shared" si="191"/>
        <v>2525.8041894667676</v>
      </c>
      <c r="NS6" s="6">
        <f t="shared" si="192"/>
        <v>5011.3131366434081</v>
      </c>
      <c r="NT6" s="6"/>
      <c r="NU6" s="6">
        <f t="shared" si="193"/>
        <v>-13428.099999999977</v>
      </c>
      <c r="NV6" s="6">
        <f t="shared" si="194"/>
        <v>-40.295242290127931</v>
      </c>
      <c r="NW6" s="6">
        <v>325438.7</v>
      </c>
      <c r="NX6" s="6">
        <f t="shared" si="195"/>
        <v>2463.5709590000001</v>
      </c>
      <c r="NY6" s="18">
        <v>333674.40000000002</v>
      </c>
      <c r="NZ6" s="6">
        <f t="shared" si="196"/>
        <v>2525.9152080000003</v>
      </c>
      <c r="OA6" s="6">
        <f t="shared" si="197"/>
        <v>-62.34424900000009</v>
      </c>
      <c r="OC6" s="5">
        <v>46057</v>
      </c>
      <c r="OD6" s="22">
        <v>839636.19708597113</v>
      </c>
      <c r="OE6" s="6">
        <f t="shared" si="198"/>
        <v>2519.5927940021948</v>
      </c>
      <c r="OF6" s="6">
        <v>848845.4</v>
      </c>
      <c r="OG6" s="6">
        <f t="shared" si="199"/>
        <v>2547.2279071395519</v>
      </c>
      <c r="OH6" s="6">
        <f t="shared" si="200"/>
        <v>5066.8207011417471</v>
      </c>
      <c r="OI6" s="6"/>
      <c r="OJ6" s="6">
        <f t="shared" si="201"/>
        <v>-9209.2029140288942</v>
      </c>
      <c r="OK6" s="6">
        <f t="shared" si="202"/>
        <v>-27.635113137357262</v>
      </c>
      <c r="OL6" s="6">
        <v>328026.40000000002</v>
      </c>
      <c r="OM6" s="6">
        <f t="shared" si="203"/>
        <v>2483.1598480000002</v>
      </c>
      <c r="ON6" s="6">
        <v>338271.9</v>
      </c>
      <c r="OO6" s="6">
        <f t="shared" si="204"/>
        <v>2560.7182830000002</v>
      </c>
      <c r="OP6" s="6">
        <f t="shared" si="205"/>
        <v>-77.558435000000003</v>
      </c>
    </row>
    <row r="7" spans="1:406" x14ac:dyDescent="0.2">
      <c r="A7" s="5">
        <v>46058</v>
      </c>
      <c r="B7" s="10">
        <v>163.68</v>
      </c>
      <c r="C7" s="6">
        <v>78.430000000000007</v>
      </c>
      <c r="D7" s="6">
        <v>176.08</v>
      </c>
      <c r="E7" s="6">
        <v>448.82</v>
      </c>
      <c r="F7" s="6">
        <v>389.93</v>
      </c>
      <c r="G7" s="2">
        <v>1.9300000000000001E-3</v>
      </c>
      <c r="H7" s="6">
        <v>3.4279999999999999</v>
      </c>
      <c r="I7" s="6">
        <v>592.6</v>
      </c>
      <c r="J7" s="6">
        <v>105.23</v>
      </c>
      <c r="K7" s="6">
        <v>687.07</v>
      </c>
      <c r="L7" s="6">
        <v>54.01</v>
      </c>
      <c r="M7" s="6">
        <v>324.92</v>
      </c>
      <c r="N7" s="6">
        <v>5.9699999999999996E-3</v>
      </c>
      <c r="O7" s="6">
        <v>91.792000000000002</v>
      </c>
      <c r="P7" s="7">
        <v>3.1739999999999998E-5</v>
      </c>
      <c r="R7" s="5">
        <v>46058</v>
      </c>
      <c r="S7" s="6">
        <v>1105610.1977185791</v>
      </c>
      <c r="T7" s="6">
        <f>S7*P7*O7</f>
        <v>3221.1710760775463</v>
      </c>
      <c r="U7" s="6">
        <v>1107517.81446578</v>
      </c>
      <c r="V7" s="6">
        <f t="shared" si="1"/>
        <v>3226.7288756555572</v>
      </c>
      <c r="W7" s="6">
        <f t="shared" si="2"/>
        <v>6447.8999517331031</v>
      </c>
      <c r="X7" s="6"/>
      <c r="Y7" s="6">
        <f t="shared" si="3"/>
        <v>-1907.6167472009547</v>
      </c>
      <c r="Z7" s="6">
        <f t="shared" si="4"/>
        <v>-5.557799578010882</v>
      </c>
      <c r="AA7">
        <v>19.35044297</v>
      </c>
      <c r="AB7" s="6">
        <f>AA7*B7</f>
        <v>3167.2805053296001</v>
      </c>
      <c r="AC7" s="6">
        <v>19.68477377</v>
      </c>
      <c r="AD7" s="6">
        <f>AC7*B7</f>
        <v>3222.0037706736002</v>
      </c>
      <c r="AE7" s="6">
        <f>(AA7-AC7)*B7</f>
        <v>-54.723265344000012</v>
      </c>
      <c r="AG7" s="5">
        <v>46058</v>
      </c>
      <c r="AH7" s="6">
        <v>1111778.0971219679</v>
      </c>
      <c r="AI7" s="6">
        <f t="shared" si="8"/>
        <v>3239.1411157889643</v>
      </c>
      <c r="AJ7" s="6">
        <v>1113184.4899047471</v>
      </c>
      <c r="AK7" s="6">
        <f t="shared" si="9"/>
        <v>3243.2386103334616</v>
      </c>
      <c r="AL7" s="6">
        <f t="shared" si="10"/>
        <v>6482.3797261224263</v>
      </c>
      <c r="AM7" s="6"/>
      <c r="AN7" s="6">
        <f t="shared" si="11"/>
        <v>-1406.3927827791777</v>
      </c>
      <c r="AO7" s="6">
        <f t="shared" si="12"/>
        <v>-4.0974945444973354</v>
      </c>
      <c r="AP7" s="1">
        <v>19.43920112</v>
      </c>
      <c r="AQ7" s="6">
        <f>AP7*B7</f>
        <v>3181.8084393216</v>
      </c>
      <c r="AR7" s="6">
        <v>19.782052620000002</v>
      </c>
      <c r="AS7" s="6">
        <f t="shared" si="14"/>
        <v>3237.9263728416004</v>
      </c>
      <c r="AT7" s="6">
        <f t="shared" si="15"/>
        <v>-56.117933520000307</v>
      </c>
      <c r="AV7" s="5">
        <v>46058</v>
      </c>
      <c r="AW7" s="6">
        <v>1086199.3603611691</v>
      </c>
      <c r="AX7" s="6">
        <f t="shared" si="16"/>
        <v>3164.6180269222868</v>
      </c>
      <c r="AY7" s="6">
        <v>1111937.4909222969</v>
      </c>
      <c r="AZ7" s="6">
        <f t="shared" si="17"/>
        <v>3239.6055061323109</v>
      </c>
      <c r="BA7" s="6">
        <f t="shared" si="18"/>
        <v>6404.2235330545973</v>
      </c>
      <c r="BB7" s="6"/>
      <c r="BC7" s="6">
        <f t="shared" si="206"/>
        <v>-25738.130561127793</v>
      </c>
      <c r="BD7" s="6">
        <f t="shared" si="19"/>
        <v>-74.98747921002392</v>
      </c>
      <c r="BE7" s="1">
        <v>40.314994769999998</v>
      </c>
      <c r="BF7" s="6">
        <f t="shared" si="20"/>
        <v>3161.9050398111003</v>
      </c>
      <c r="BG7" s="6">
        <v>40.193923439999992</v>
      </c>
      <c r="BH7" s="6">
        <f t="shared" si="21"/>
        <v>3152.4094153991996</v>
      </c>
      <c r="BI7" s="6">
        <f t="shared" si="22"/>
        <v>9.4956244119005166</v>
      </c>
      <c r="BK7" s="5">
        <v>46058</v>
      </c>
      <c r="BL7" s="6">
        <v>1095666.2928716261</v>
      </c>
      <c r="BM7" s="6">
        <f t="shared" si="23"/>
        <v>3192.1997272763429</v>
      </c>
      <c r="BN7" s="6">
        <v>1110673.9679248871</v>
      </c>
      <c r="BO7" s="6">
        <f t="shared" si="24"/>
        <v>3235.9242595757814</v>
      </c>
      <c r="BP7" s="6">
        <f t="shared" si="25"/>
        <v>6428.1239868521243</v>
      </c>
      <c r="BQ7" s="6"/>
      <c r="BR7" s="6">
        <f t="shared" si="26"/>
        <v>-15007.675053260988</v>
      </c>
      <c r="BS7" s="6">
        <f t="shared" si="27"/>
        <v>-43.724532299438714</v>
      </c>
      <c r="BT7" s="1">
        <v>40.252785919999987</v>
      </c>
      <c r="BU7" s="6">
        <f t="shared" si="28"/>
        <v>3157.0259997055991</v>
      </c>
      <c r="BV7">
        <v>40.547189489999987</v>
      </c>
      <c r="BW7" s="6">
        <f t="shared" si="29"/>
        <v>3180.1160717006992</v>
      </c>
      <c r="BX7" s="6">
        <f t="shared" si="30"/>
        <v>-23.090071995100008</v>
      </c>
      <c r="BZ7" s="5">
        <v>46058</v>
      </c>
      <c r="CA7" s="6">
        <v>1087008.6495255211</v>
      </c>
      <c r="CB7" s="6">
        <f t="shared" si="31"/>
        <v>3166.9758731630077</v>
      </c>
      <c r="CC7" s="6">
        <v>1120074.5139899331</v>
      </c>
      <c r="CD7" s="6">
        <f t="shared" si="32"/>
        <v>3263.3125444763236</v>
      </c>
      <c r="CE7" s="6">
        <f t="shared" si="33"/>
        <v>6430.2884176393309</v>
      </c>
      <c r="CF7" s="6"/>
      <c r="CG7" s="6">
        <f t="shared" si="34"/>
        <v>-33065.864464411978</v>
      </c>
      <c r="CH7" s="6">
        <f t="shared" si="35"/>
        <v>-96.336671313315236</v>
      </c>
      <c r="CI7" s="1">
        <v>17.83778753</v>
      </c>
      <c r="CJ7" s="6">
        <f t="shared" si="36"/>
        <v>3140.8776282824001</v>
      </c>
      <c r="CK7" s="6">
        <v>17.637355039999999</v>
      </c>
      <c r="CL7" s="6">
        <f t="shared" si="37"/>
        <v>3105.5854754432003</v>
      </c>
      <c r="CM7" s="6">
        <f t="shared" si="38"/>
        <v>35.292152839200135</v>
      </c>
      <c r="CO7" s="5">
        <v>46058</v>
      </c>
      <c r="CP7" s="6">
        <v>1115090.932623096</v>
      </c>
      <c r="CQ7" s="6">
        <f t="shared" si="39"/>
        <v>3248.7929894041467</v>
      </c>
      <c r="CR7" s="6">
        <v>1095699.7869337499</v>
      </c>
      <c r="CS7" s="6">
        <f t="shared" si="40"/>
        <v>3192.2973114921506</v>
      </c>
      <c r="CT7" s="6">
        <f t="shared" si="41"/>
        <v>6441.0903008962978</v>
      </c>
      <c r="CU7" s="6"/>
      <c r="CV7" s="6">
        <f t="shared" si="42"/>
        <v>19391.145689346129</v>
      </c>
      <c r="CW7" s="6">
        <f t="shared" si="43"/>
        <v>56.495677911996431</v>
      </c>
      <c r="CX7" s="1">
        <v>17.457005259999999</v>
      </c>
      <c r="CY7" s="6">
        <f t="shared" si="44"/>
        <v>3073.8294861807999</v>
      </c>
      <c r="CZ7" s="6">
        <v>18.09771945</v>
      </c>
      <c r="DA7" s="6">
        <f t="shared" si="45"/>
        <v>3186.6464407560002</v>
      </c>
      <c r="DB7" s="6">
        <f t="shared" si="46"/>
        <v>-112.81695457520011</v>
      </c>
      <c r="DD7" s="5">
        <v>46058</v>
      </c>
      <c r="DE7" s="6">
        <v>1098658.720590109</v>
      </c>
      <c r="DF7" s="6">
        <f t="shared" si="47"/>
        <v>3200.9180998401275</v>
      </c>
      <c r="DG7" s="6">
        <v>1109754.782213616</v>
      </c>
      <c r="DH7" s="6">
        <f t="shared" si="48"/>
        <v>3233.2462321545436</v>
      </c>
      <c r="DI7" s="6">
        <f t="shared" si="49"/>
        <v>6434.1643319946706</v>
      </c>
      <c r="DJ7" s="6"/>
      <c r="DK7" s="6">
        <f t="shared" si="50"/>
        <v>-11096.061623506946</v>
      </c>
      <c r="DL7" s="6">
        <f t="shared" si="51"/>
        <v>-32.328132314416699</v>
      </c>
      <c r="DM7" s="10">
        <v>6.8877101100000004</v>
      </c>
      <c r="DN7" s="6">
        <f t="shared" si="52"/>
        <v>3091.3420515702001</v>
      </c>
      <c r="DO7" s="6">
        <v>6.9622136100000001</v>
      </c>
      <c r="DP7" s="6">
        <f t="shared" si="53"/>
        <v>3124.7807124401997</v>
      </c>
      <c r="DQ7" s="6">
        <f t="shared" si="54"/>
        <v>-33.438660869999822</v>
      </c>
      <c r="DS7" s="5">
        <v>46058</v>
      </c>
      <c r="DT7" s="6">
        <v>1103582.5576536839</v>
      </c>
      <c r="DU7" s="6">
        <f t="shared" si="55"/>
        <v>3215.2635911943439</v>
      </c>
      <c r="DV7" s="6">
        <v>1109429.310538721</v>
      </c>
      <c r="DW7" s="6">
        <f t="shared" si="56"/>
        <v>3232.2979775640765</v>
      </c>
      <c r="DX7" s="6">
        <f t="shared" si="57"/>
        <v>6447.5615687584204</v>
      </c>
      <c r="DY7" s="6"/>
      <c r="DZ7" s="6">
        <f t="shared" si="58"/>
        <v>-5846.7528850371018</v>
      </c>
      <c r="EA7" s="6">
        <f t="shared" si="59"/>
        <v>-17.034386369732356</v>
      </c>
      <c r="EB7" s="10">
        <v>6.8866765599999997</v>
      </c>
      <c r="EC7" s="6">
        <f t="shared" si="60"/>
        <v>3090.8781736592</v>
      </c>
      <c r="ED7" s="6">
        <v>6.998358829999999</v>
      </c>
      <c r="EE7" s="6">
        <f t="shared" si="61"/>
        <v>3141.0034100805997</v>
      </c>
      <c r="EF7" s="6">
        <f t="shared" si="62"/>
        <v>-50.125236421399691</v>
      </c>
      <c r="EH7" s="5">
        <v>46058</v>
      </c>
      <c r="EI7" s="6">
        <v>3206635</v>
      </c>
      <c r="EJ7" s="6">
        <f t="shared" si="63"/>
        <v>9342.4607830607983</v>
      </c>
      <c r="EK7" s="6">
        <v>3143721</v>
      </c>
      <c r="EL7" s="6">
        <f t="shared" si="64"/>
        <v>9159.1622231356796</v>
      </c>
      <c r="EM7" s="6">
        <f t="shared" si="65"/>
        <v>18501.623006196478</v>
      </c>
      <c r="EN7" s="6"/>
      <c r="EO7" s="6">
        <f t="shared" si="66"/>
        <v>62914</v>
      </c>
      <c r="EP7" s="6">
        <f t="shared" si="67"/>
        <v>183.29855992512</v>
      </c>
      <c r="EQ7" s="10">
        <v>21.589379999999998</v>
      </c>
      <c r="ER7" s="6">
        <f t="shared" si="68"/>
        <v>8418.3469433999999</v>
      </c>
      <c r="ES7" s="6">
        <v>22.49081</v>
      </c>
      <c r="ET7" s="6">
        <f t="shared" si="69"/>
        <v>8769.8415433000009</v>
      </c>
      <c r="EU7" s="6">
        <f t="shared" si="70"/>
        <v>-351.49459990000048</v>
      </c>
      <c r="EW7" s="5">
        <v>46058</v>
      </c>
      <c r="EX7" s="6">
        <v>3149457</v>
      </c>
      <c r="EY7" s="6">
        <f t="shared" si="71"/>
        <v>9175.8739334025595</v>
      </c>
      <c r="EZ7" s="6">
        <v>3160602</v>
      </c>
      <c r="FA7" s="6">
        <f t="shared" si="72"/>
        <v>9208.3446466041587</v>
      </c>
      <c r="FB7" s="6">
        <f t="shared" si="73"/>
        <v>18384.218580006716</v>
      </c>
      <c r="FC7" s="6"/>
      <c r="FD7" s="6">
        <f t="shared" si="74"/>
        <v>-11145</v>
      </c>
      <c r="FE7" s="6">
        <f t="shared" si="75"/>
        <v>-32.470713201599999</v>
      </c>
      <c r="FF7" s="10">
        <v>21.459140000000001</v>
      </c>
      <c r="FG7" s="6">
        <f t="shared" si="76"/>
        <v>8367.5624602000007</v>
      </c>
      <c r="FH7" s="6">
        <v>22.091719999999999</v>
      </c>
      <c r="FI7" s="6">
        <f t="shared" si="77"/>
        <v>8614.2243796000002</v>
      </c>
      <c r="FJ7" s="6">
        <f t="shared" si="78"/>
        <v>-246.66191939999894</v>
      </c>
      <c r="FL7" s="5">
        <v>46058</v>
      </c>
      <c r="FM7" s="6">
        <v>867566.9</v>
      </c>
      <c r="FN7" s="6">
        <f t="shared" si="79"/>
        <v>2527.6371460835521</v>
      </c>
      <c r="FO7" s="6">
        <v>889426.9</v>
      </c>
      <c r="FP7" s="6">
        <f t="shared" si="80"/>
        <v>2591.325776912352</v>
      </c>
      <c r="FQ7" s="6">
        <f t="shared" si="81"/>
        <v>5118.9629229959046</v>
      </c>
      <c r="FR7" s="6"/>
      <c r="FS7" s="6">
        <f t="shared" si="82"/>
        <v>-21860</v>
      </c>
      <c r="FT7" s="6">
        <f t="shared" si="83"/>
        <v>-63.688630828799994</v>
      </c>
      <c r="FU7" s="2">
        <v>1127431</v>
      </c>
      <c r="FV7" s="6">
        <f t="shared" si="84"/>
        <v>2175.9418300000002</v>
      </c>
      <c r="FW7" s="6">
        <v>1144219</v>
      </c>
      <c r="FX7" s="6">
        <f t="shared" si="85"/>
        <v>2208.34267</v>
      </c>
      <c r="FY7" s="6">
        <f t="shared" si="86"/>
        <v>-32.400840000000002</v>
      </c>
      <c r="GA7" s="5">
        <v>46058</v>
      </c>
      <c r="GB7" s="6">
        <v>816062.8</v>
      </c>
      <c r="GC7" s="6">
        <f t="shared" si="87"/>
        <v>2377.5810797034242</v>
      </c>
      <c r="GD7" s="6">
        <v>825404.3</v>
      </c>
      <c r="GE7" s="6">
        <f t="shared" si="88"/>
        <v>2404.797335187744</v>
      </c>
      <c r="GF7" s="6">
        <f t="shared" si="89"/>
        <v>4782.3784148911682</v>
      </c>
      <c r="GG7" s="6"/>
      <c r="GH7" s="6">
        <f t="shared" si="90"/>
        <v>-9341.5</v>
      </c>
      <c r="GI7" s="6">
        <f t="shared" si="91"/>
        <v>-27.216255484319998</v>
      </c>
      <c r="GJ7" s="10">
        <v>1046179</v>
      </c>
      <c r="GK7" s="6">
        <f t="shared" si="92"/>
        <v>2019.1254700000002</v>
      </c>
      <c r="GL7" s="6">
        <v>1076302</v>
      </c>
      <c r="GM7" s="6">
        <f t="shared" si="93"/>
        <v>2077.2628600000003</v>
      </c>
      <c r="GN7" s="6">
        <f t="shared" si="94"/>
        <v>-58.137390000000003</v>
      </c>
      <c r="GP7" s="5">
        <v>46058</v>
      </c>
      <c r="GQ7" s="6">
        <v>862863.7</v>
      </c>
      <c r="GR7" s="6">
        <f t="shared" si="95"/>
        <v>2513.9344759776959</v>
      </c>
      <c r="GS7" s="6">
        <v>900600.5</v>
      </c>
      <c r="GT7" s="6">
        <f t="shared" si="96"/>
        <v>2623.87981558704</v>
      </c>
      <c r="GU7" s="6">
        <f t="shared" si="97"/>
        <v>5137.8142915647359</v>
      </c>
      <c r="GV7" s="6"/>
      <c r="GW7" s="6">
        <f t="shared" si="98"/>
        <v>-37736.800000000047</v>
      </c>
      <c r="GX7" s="6">
        <f t="shared" si="99"/>
        <v>-109.94533960934413</v>
      </c>
      <c r="GY7" s="10">
        <v>638.14610000000005</v>
      </c>
      <c r="GZ7" s="6">
        <f t="shared" si="100"/>
        <v>2187.5648308</v>
      </c>
      <c r="HA7" s="6">
        <v>636.96849999999995</v>
      </c>
      <c r="HB7" s="6">
        <f t="shared" si="101"/>
        <v>2183.528018</v>
      </c>
      <c r="HC7" s="6">
        <f>(GY7-HA7)*H7</f>
        <v>4.0368128000003347</v>
      </c>
      <c r="HE7" s="5">
        <v>46058</v>
      </c>
      <c r="HF7" s="6">
        <v>866501.7</v>
      </c>
      <c r="HG7" s="6">
        <f t="shared" si="102"/>
        <v>2524.5337092327354</v>
      </c>
      <c r="HH7" s="6">
        <v>878894.2</v>
      </c>
      <c r="HI7" s="6">
        <f t="shared" si="103"/>
        <v>2560.6389863391355</v>
      </c>
      <c r="HJ7" s="6">
        <f t="shared" si="104"/>
        <v>5085.1726955718714</v>
      </c>
      <c r="HK7" s="6"/>
      <c r="HL7" s="6">
        <f t="shared" si="105"/>
        <v>-12392.5</v>
      </c>
      <c r="HM7" s="6">
        <f t="shared" si="106"/>
        <v>-36.105277106400003</v>
      </c>
      <c r="HN7" s="10">
        <v>621.82010000000002</v>
      </c>
      <c r="HO7" s="6">
        <f t="shared" si="107"/>
        <v>2131.5993028000003</v>
      </c>
      <c r="HP7" s="6">
        <v>639.79300000000001</v>
      </c>
      <c r="HQ7" s="6">
        <f t="shared" si="108"/>
        <v>2193.2104039999999</v>
      </c>
      <c r="HR7" s="6">
        <f t="shared" si="109"/>
        <v>-61.611101199999936</v>
      </c>
      <c r="HT7" s="5">
        <v>46058</v>
      </c>
      <c r="HU7" s="6">
        <v>871328.9</v>
      </c>
      <c r="HV7" s="6">
        <f t="shared" si="110"/>
        <v>2538.597650620512</v>
      </c>
      <c r="HW7" s="6">
        <v>904062.2</v>
      </c>
      <c r="HX7" s="6">
        <f t="shared" si="111"/>
        <v>2633.9654026565759</v>
      </c>
      <c r="HY7" s="6">
        <f t="shared" si="112"/>
        <v>5172.5630532770883</v>
      </c>
      <c r="HZ7" s="6"/>
      <c r="IA7" s="6">
        <f t="shared" si="113"/>
        <v>-32733.29999999993</v>
      </c>
      <c r="IB7" s="6">
        <f t="shared" si="114"/>
        <v>-95.367752036063791</v>
      </c>
      <c r="IC7" s="10">
        <v>4.1776010000000001</v>
      </c>
      <c r="ID7" s="6">
        <f t="shared" si="115"/>
        <v>2475.6463526000002</v>
      </c>
      <c r="IE7" s="6">
        <v>4.1838319999999998</v>
      </c>
      <c r="IF7" s="6">
        <f t="shared" si="116"/>
        <v>2479.3388432000002</v>
      </c>
      <c r="IG7" s="6">
        <f t="shared" si="117"/>
        <v>-3.692490599999795</v>
      </c>
      <c r="II7" s="5">
        <v>46058</v>
      </c>
      <c r="IJ7" s="6">
        <v>854369</v>
      </c>
      <c r="IK7" s="6">
        <f t="shared" si="118"/>
        <v>2489.1853537315196</v>
      </c>
      <c r="IL7" s="6">
        <v>896412.1</v>
      </c>
      <c r="IM7" s="6">
        <f t="shared" si="119"/>
        <v>2611.6770039967678</v>
      </c>
      <c r="IN7" s="6">
        <f t="shared" si="120"/>
        <v>5100.862357728287</v>
      </c>
      <c r="IO7" s="6"/>
      <c r="IP7" s="6">
        <f t="shared" si="121"/>
        <v>-42043.099999999977</v>
      </c>
      <c r="IQ7" s="6">
        <f t="shared" si="122"/>
        <v>-122.49165026524793</v>
      </c>
      <c r="IR7" s="10">
        <v>4.1378199999999996</v>
      </c>
      <c r="IS7" s="6">
        <f t="shared" si="123"/>
        <v>2452.0721319999998</v>
      </c>
      <c r="IT7" s="6">
        <v>4.1024560000000001</v>
      </c>
      <c r="IU7" s="6">
        <f t="shared" si="124"/>
        <v>2431.1154256</v>
      </c>
      <c r="IV7" s="6">
        <f t="shared" si="125"/>
        <v>20.95670639999971</v>
      </c>
      <c r="IX7" s="5">
        <v>46058</v>
      </c>
      <c r="IY7" s="6">
        <v>1047815</v>
      </c>
      <c r="IZ7" s="6">
        <f t="shared" si="126"/>
        <v>3052.7860343951997</v>
      </c>
      <c r="JA7" s="6">
        <v>1142409</v>
      </c>
      <c r="JB7" s="6">
        <f t="shared" si="127"/>
        <v>3328.3835798947198</v>
      </c>
      <c r="JC7" s="6">
        <f t="shared" si="128"/>
        <v>6381.16961428992</v>
      </c>
      <c r="JD7" s="6"/>
      <c r="JE7" s="6">
        <f t="shared" si="129"/>
        <v>-94594</v>
      </c>
      <c r="JF7" s="6">
        <f t="shared" si="130"/>
        <v>-275.59754549951998</v>
      </c>
      <c r="JG7" s="10">
        <v>26.75414</v>
      </c>
      <c r="JH7" s="6">
        <f>JG7*J7</f>
        <v>2815.3381522</v>
      </c>
      <c r="JI7" s="6">
        <v>28.27422</v>
      </c>
      <c r="JJ7" s="6">
        <f t="shared" si="132"/>
        <v>2975.2961706000001</v>
      </c>
      <c r="JK7" s="6">
        <f t="shared" si="133"/>
        <v>-159.95801840000001</v>
      </c>
      <c r="JM7" s="5">
        <v>46058</v>
      </c>
      <c r="JN7" s="6">
        <v>933463.4</v>
      </c>
      <c r="JO7" s="6">
        <f t="shared" si="134"/>
        <v>2719.6251543822718</v>
      </c>
      <c r="JP7" s="6">
        <v>1006334</v>
      </c>
      <c r="JQ7" s="6">
        <f t="shared" si="135"/>
        <v>2931.9320501587199</v>
      </c>
      <c r="JR7" s="6">
        <f t="shared" si="136"/>
        <v>5651.5572045409917</v>
      </c>
      <c r="JS7" s="6"/>
      <c r="JT7" s="6">
        <f t="shared" si="137"/>
        <v>-72870.599999999977</v>
      </c>
      <c r="JU7" s="6">
        <f>JT7*P7*O7</f>
        <v>-212.30689577644793</v>
      </c>
      <c r="JV7" s="10">
        <v>23.503799999999998</v>
      </c>
      <c r="JW7" s="6">
        <f t="shared" si="139"/>
        <v>2473.3048739999999</v>
      </c>
      <c r="JX7" s="6">
        <v>24.586839999999999</v>
      </c>
      <c r="JY7" s="6">
        <f t="shared" si="140"/>
        <v>2587.2731731999997</v>
      </c>
      <c r="JZ7" s="6">
        <f t="shared" si="141"/>
        <v>-113.96829920000005</v>
      </c>
      <c r="KB7" s="5">
        <v>46058</v>
      </c>
      <c r="KC7" s="6">
        <v>1166408.545162352</v>
      </c>
      <c r="KD7" s="6">
        <f t="shared" si="142"/>
        <v>3398.3057286552025</v>
      </c>
      <c r="KE7" s="6">
        <v>1141869.9374601899</v>
      </c>
      <c r="KF7" s="6">
        <f t="shared" si="143"/>
        <v>3326.8130330012341</v>
      </c>
      <c r="KG7" s="6">
        <f t="shared" si="144"/>
        <v>6725.1187616564366</v>
      </c>
      <c r="KH7" s="6"/>
      <c r="KI7" s="6">
        <f t="shared" si="145"/>
        <v>24538.607702162117</v>
      </c>
      <c r="KJ7" s="6">
        <f t="shared" si="146"/>
        <v>71.492695653968482</v>
      </c>
      <c r="KK7" s="10">
        <v>4.6841742139999996</v>
      </c>
      <c r="KL7" s="6">
        <f t="shared" si="147"/>
        <v>3218.3555772129798</v>
      </c>
      <c r="KM7" s="6">
        <v>4.8774029230000009</v>
      </c>
      <c r="KN7" s="6">
        <f t="shared" si="148"/>
        <v>3351.117226305611</v>
      </c>
      <c r="KO7" s="6">
        <f t="shared" si="149"/>
        <v>-132.76164909263093</v>
      </c>
      <c r="KQ7" s="5">
        <v>46058</v>
      </c>
      <c r="KR7" s="6">
        <v>1168409.6778243161</v>
      </c>
      <c r="KS7" s="6">
        <f t="shared" si="150"/>
        <v>3404.1359848010065</v>
      </c>
      <c r="KT7" s="6">
        <v>1153847.200558865</v>
      </c>
      <c r="KU7" s="6">
        <f t="shared" si="151"/>
        <v>3361.7085264976167</v>
      </c>
      <c r="KV7" s="6">
        <f t="shared" si="152"/>
        <v>6765.8445112986228</v>
      </c>
      <c r="KW7" s="6"/>
      <c r="KX7" s="6">
        <f t="shared" si="153"/>
        <v>14562.477265451103</v>
      </c>
      <c r="KY7" s="6">
        <f t="shared" si="154"/>
        <v>42.427458303390132</v>
      </c>
      <c r="KZ7" s="10">
        <v>4.7325080709999998</v>
      </c>
      <c r="LA7" s="6">
        <f t="shared" si="155"/>
        <v>3251.56432034197</v>
      </c>
      <c r="LB7" s="6">
        <v>4.8899060179999996</v>
      </c>
      <c r="LC7" s="6">
        <f t="shared" si="156"/>
        <v>3359.70772778726</v>
      </c>
      <c r="LD7" s="6">
        <f t="shared" si="157"/>
        <v>-108.14340744528984</v>
      </c>
      <c r="LF7" s="5">
        <v>46058</v>
      </c>
      <c r="LG7" s="6">
        <v>1097061.749514061</v>
      </c>
      <c r="LH7" s="6">
        <f t="shared" si="158"/>
        <v>3196.265359615667</v>
      </c>
      <c r="LI7" s="6">
        <v>1125062.1478594339</v>
      </c>
      <c r="LJ7" s="6">
        <f t="shared" si="159"/>
        <v>3277.8439064261793</v>
      </c>
      <c r="LK7" s="6">
        <f t="shared" si="160"/>
        <v>6474.1092660418462</v>
      </c>
      <c r="LL7" s="6"/>
      <c r="LM7" s="6">
        <f t="shared" si="161"/>
        <v>-28000.398345372872</v>
      </c>
      <c r="LN7" s="6">
        <f t="shared" si="162"/>
        <v>-81.578546810512123</v>
      </c>
      <c r="LO7" s="10">
        <v>59.271449019999999</v>
      </c>
      <c r="LP7" s="6">
        <f t="shared" si="163"/>
        <v>3201.2509615701997</v>
      </c>
      <c r="LQ7" s="6">
        <v>58.955729640000001</v>
      </c>
      <c r="LR7" s="6">
        <f t="shared" si="164"/>
        <v>3184.1989578563998</v>
      </c>
      <c r="LS7" s="6">
        <f t="shared" si="165"/>
        <v>17.052003713799856</v>
      </c>
      <c r="LU7" s="5">
        <v>46058</v>
      </c>
      <c r="LV7" s="6">
        <v>1048398.606019838</v>
      </c>
      <c r="LW7" s="6">
        <f t="shared" si="166"/>
        <v>3054.4863577413539</v>
      </c>
      <c r="LX7" s="6">
        <v>1078520.1964486591</v>
      </c>
      <c r="LY7" s="6">
        <f t="shared" si="167"/>
        <v>3142.244951190462</v>
      </c>
      <c r="LZ7" s="6">
        <f t="shared" si="168"/>
        <v>6196.7313089318159</v>
      </c>
      <c r="MA7" s="6"/>
      <c r="MB7" s="6">
        <f t="shared" si="169"/>
        <v>-30121.590428821044</v>
      </c>
      <c r="MC7" s="6">
        <f t="shared" si="170"/>
        <v>-87.758593449107906</v>
      </c>
      <c r="MD7" s="10">
        <v>56.775283199999997</v>
      </c>
      <c r="ME7" s="6">
        <f t="shared" si="171"/>
        <v>3066.4330456319999</v>
      </c>
      <c r="MF7" s="6">
        <v>56.36622981</v>
      </c>
      <c r="MG7" s="6">
        <f t="shared" si="172"/>
        <v>3044.3400720381001</v>
      </c>
      <c r="MH7" s="6">
        <f t="shared" si="173"/>
        <v>22.092973593899828</v>
      </c>
      <c r="MJ7" s="5">
        <v>46058</v>
      </c>
      <c r="MK7" s="6">
        <v>1103015</v>
      </c>
      <c r="ML7" s="6">
        <f t="shared" si="174"/>
        <v>3213.6100244111999</v>
      </c>
      <c r="MM7" s="6">
        <v>1116638</v>
      </c>
      <c r="MN7" s="6">
        <f t="shared" si="175"/>
        <v>3253.3003362950399</v>
      </c>
      <c r="MO7" s="6">
        <f t="shared" si="176"/>
        <v>6466.9103607062398</v>
      </c>
      <c r="MP7" s="6"/>
      <c r="MQ7" s="6">
        <f t="shared" si="177"/>
        <v>-13623</v>
      </c>
      <c r="MR7" s="6">
        <f t="shared" si="178"/>
        <v>-39.690311883840003</v>
      </c>
      <c r="MS7" s="10">
        <v>9.5280529999999999</v>
      </c>
      <c r="MT7" s="6">
        <f t="shared" si="179"/>
        <v>3095.8549807600002</v>
      </c>
      <c r="MU7" s="6">
        <v>9.6163139999999991</v>
      </c>
      <c r="MV7" s="6">
        <f t="shared" si="180"/>
        <v>3124.5327448799999</v>
      </c>
      <c r="MW7" s="6">
        <f t="shared" si="181"/>
        <v>-28.677764119999761</v>
      </c>
      <c r="MY7" s="5">
        <v>46058</v>
      </c>
      <c r="MZ7" s="6">
        <v>1089711</v>
      </c>
      <c r="NA7" s="6">
        <f t="shared" si="182"/>
        <v>3174.8491120348795</v>
      </c>
      <c r="NB7" s="6">
        <v>1119635</v>
      </c>
      <c r="NC7" s="6">
        <f t="shared" si="183"/>
        <v>3262.0320301007996</v>
      </c>
      <c r="ND7" s="6">
        <f t="shared" si="184"/>
        <v>6436.8811421356786</v>
      </c>
      <c r="NE7" s="6"/>
      <c r="NF7" s="6">
        <f t="shared" si="185"/>
        <v>-29924</v>
      </c>
      <c r="NG7" s="6">
        <f t="shared" si="186"/>
        <v>-87.182918065920006</v>
      </c>
      <c r="NH7" s="10">
        <v>9.5591010000000001</v>
      </c>
      <c r="NI7" s="6">
        <f t="shared" si="187"/>
        <v>3105.9430969200002</v>
      </c>
      <c r="NJ7" s="6">
        <v>9.5199719999999992</v>
      </c>
      <c r="NK7" s="6">
        <f t="shared" si="188"/>
        <v>3093.2293022399999</v>
      </c>
      <c r="NL7" s="6">
        <f t="shared" si="189"/>
        <v>12.71379468000028</v>
      </c>
      <c r="NN7" s="5">
        <v>46058</v>
      </c>
      <c r="NO7" s="6">
        <v>1057299</v>
      </c>
      <c r="NP7" s="6">
        <f t="shared" si="190"/>
        <v>3080.4174605059202</v>
      </c>
      <c r="NQ7" s="6">
        <v>1088532</v>
      </c>
      <c r="NR7" s="6">
        <f t="shared" si="191"/>
        <v>3171.4141213785597</v>
      </c>
      <c r="NS7" s="6">
        <f t="shared" si="192"/>
        <v>6251.8315818844803</v>
      </c>
      <c r="NT7" s="6"/>
      <c r="NU7" s="6">
        <f t="shared" si="193"/>
        <v>-31233</v>
      </c>
      <c r="NV7" s="6">
        <f t="shared" si="194"/>
        <v>-90.996660872639993</v>
      </c>
      <c r="NW7" s="10">
        <v>443633.4</v>
      </c>
      <c r="NX7" s="6">
        <f t="shared" si="195"/>
        <v>2648.4913980000001</v>
      </c>
      <c r="NY7" s="6">
        <v>449423.5</v>
      </c>
      <c r="NZ7" s="6">
        <f t="shared" si="196"/>
        <v>2683.0582949999998</v>
      </c>
      <c r="OA7" s="6">
        <f t="shared" si="197"/>
        <v>-34.566896999999855</v>
      </c>
      <c r="OC7" s="5">
        <v>46058</v>
      </c>
      <c r="OD7" s="6">
        <v>1061705</v>
      </c>
      <c r="OE7" s="6">
        <f t="shared" si="198"/>
        <v>3093.2542449264001</v>
      </c>
      <c r="OF7" s="18">
        <v>1110058</v>
      </c>
      <c r="OG7" s="6">
        <f t="shared" si="199"/>
        <v>3234.12965052864</v>
      </c>
      <c r="OH7" s="6">
        <f t="shared" si="200"/>
        <v>6327.3838954550401</v>
      </c>
      <c r="OI7" s="6"/>
      <c r="OJ7" s="6">
        <f t="shared" si="201"/>
        <v>-48353</v>
      </c>
      <c r="OK7" s="6">
        <f t="shared" si="202"/>
        <v>-140.87540560223999</v>
      </c>
      <c r="OL7" s="10">
        <v>452527.3</v>
      </c>
      <c r="OM7" s="6">
        <f t="shared" si="203"/>
        <v>2701.5879809999997</v>
      </c>
      <c r="ON7" s="6">
        <v>451422.7</v>
      </c>
      <c r="OO7" s="6">
        <f t="shared" si="204"/>
        <v>2694.9935190000001</v>
      </c>
      <c r="OP7" s="6">
        <f t="shared" si="205"/>
        <v>6.5944619999998606</v>
      </c>
    </row>
    <row r="8" spans="1:406" x14ac:dyDescent="0.2">
      <c r="A8" s="5">
        <v>46059</v>
      </c>
      <c r="B8" s="10">
        <v>153.54</v>
      </c>
      <c r="C8" s="6">
        <v>74.78</v>
      </c>
      <c r="D8" s="6">
        <v>172.7</v>
      </c>
      <c r="E8" s="6">
        <v>449.85</v>
      </c>
      <c r="F8" s="6">
        <v>390.33</v>
      </c>
      <c r="G8" s="2">
        <v>2E-3</v>
      </c>
      <c r="H8" s="6">
        <v>3.4079999999999999</v>
      </c>
      <c r="I8" s="6">
        <v>594.85</v>
      </c>
      <c r="J8" s="6">
        <v>108.91</v>
      </c>
      <c r="K8" s="6">
        <v>678.79</v>
      </c>
      <c r="L8" s="6">
        <v>51.46</v>
      </c>
      <c r="M8" s="6">
        <v>326.97000000000003</v>
      </c>
      <c r="N8" s="6">
        <v>6.3200000000000001E-3</v>
      </c>
      <c r="O8" s="6">
        <v>76.506</v>
      </c>
      <c r="P8" s="7">
        <v>3.3179999999999997E-5</v>
      </c>
      <c r="R8" s="5">
        <v>46059</v>
      </c>
      <c r="S8" s="6">
        <v>1378940.507943583</v>
      </c>
      <c r="T8" s="6">
        <f t="shared" si="0"/>
        <v>3500.3978425742794</v>
      </c>
      <c r="U8">
        <v>1340497.2062403499</v>
      </c>
      <c r="V8" s="6">
        <f t="shared" si="1"/>
        <v>3402.8107098675109</v>
      </c>
      <c r="W8" s="6">
        <f t="shared" si="2"/>
        <v>6903.2085524417907</v>
      </c>
      <c r="X8" s="6"/>
      <c r="Y8" s="6">
        <f t="shared" si="3"/>
        <v>38443.301703233039</v>
      </c>
      <c r="Z8" s="6">
        <f t="shared" si="4"/>
        <v>97.587132706768401</v>
      </c>
      <c r="AA8" s="11">
        <v>22.548843680000001</v>
      </c>
      <c r="AB8" s="6">
        <f t="shared" si="5"/>
        <v>3462.1494586272001</v>
      </c>
      <c r="AC8" s="6">
        <v>23.637214090000001</v>
      </c>
      <c r="AD8" s="6">
        <f t="shared" si="6"/>
        <v>3629.2578513785998</v>
      </c>
      <c r="AE8" s="6">
        <f t="shared" si="7"/>
        <v>-167.10839275139992</v>
      </c>
      <c r="AG8" s="5">
        <v>46059</v>
      </c>
      <c r="AH8" s="6">
        <v>1323989.62918559</v>
      </c>
      <c r="AI8" s="6">
        <f t="shared" si="8"/>
        <v>3360.9067359282853</v>
      </c>
      <c r="AJ8" s="6">
        <v>1299368.055468661</v>
      </c>
      <c r="AK8" s="6">
        <f t="shared" si="9"/>
        <v>3298.4056323469204</v>
      </c>
      <c r="AL8" s="6">
        <f t="shared" si="10"/>
        <v>6659.3123682752057</v>
      </c>
      <c r="AM8" s="6"/>
      <c r="AN8" s="6">
        <f t="shared" si="11"/>
        <v>24621.57371692895</v>
      </c>
      <c r="AO8" s="6">
        <f t="shared" si="12"/>
        <v>62.501103581364809</v>
      </c>
      <c r="AP8" s="14">
        <v>21.865076340000002</v>
      </c>
      <c r="AQ8" s="6">
        <f t="shared" si="13"/>
        <v>3357.1638212436001</v>
      </c>
      <c r="AR8" s="6">
        <v>22.74005575</v>
      </c>
      <c r="AS8" s="6">
        <f t="shared" si="14"/>
        <v>3491.5081598549996</v>
      </c>
      <c r="AT8" s="6">
        <f t="shared" si="15"/>
        <v>-134.34433861139971</v>
      </c>
      <c r="AV8" s="5">
        <v>46059</v>
      </c>
      <c r="AW8" s="6">
        <v>1365298.135568514</v>
      </c>
      <c r="AX8" s="6">
        <f t="shared" si="16"/>
        <v>3465.7671021223205</v>
      </c>
      <c r="AY8" s="6">
        <v>1340413.9577160981</v>
      </c>
      <c r="AZ8" s="6">
        <f t="shared" si="17"/>
        <v>3402.5993860627423</v>
      </c>
      <c r="BA8" s="6">
        <f t="shared" si="18"/>
        <v>6868.3664881850627</v>
      </c>
      <c r="BB8" s="6"/>
      <c r="BC8" s="6">
        <f t="shared" si="206"/>
        <v>24884.177852415945</v>
      </c>
      <c r="BD8" s="6">
        <f t="shared" si="19"/>
        <v>63.167716059578673</v>
      </c>
      <c r="BE8" s="14">
        <v>45.606455029999999</v>
      </c>
      <c r="BF8" s="6">
        <f t="shared" si="20"/>
        <v>3410.4507071434</v>
      </c>
      <c r="BG8" s="6">
        <v>47.306491019999989</v>
      </c>
      <c r="BH8" s="6">
        <f t="shared" si="21"/>
        <v>3537.5793984755992</v>
      </c>
      <c r="BI8" s="6">
        <f t="shared" si="22"/>
        <v>-127.1286913321992</v>
      </c>
      <c r="BK8" s="5">
        <v>46059</v>
      </c>
      <c r="BL8" s="6">
        <v>1230452.653351736</v>
      </c>
      <c r="BM8" s="6">
        <f t="shared" si="23"/>
        <v>3123.4660149373399</v>
      </c>
      <c r="BN8" s="6">
        <v>1198215.2209512531</v>
      </c>
      <c r="BO8" s="6">
        <f t="shared" si="24"/>
        <v>3041.6322895701242</v>
      </c>
      <c r="BP8" s="6">
        <f t="shared" si="25"/>
        <v>6165.0983045074645</v>
      </c>
      <c r="BQ8" s="6"/>
      <c r="BR8" s="6">
        <f t="shared" si="26"/>
        <v>32237.43240048294</v>
      </c>
      <c r="BS8" s="6">
        <f t="shared" si="27"/>
        <v>81.833725367216104</v>
      </c>
      <c r="BT8" s="14">
        <v>40.671984340000002</v>
      </c>
      <c r="BU8" s="6">
        <f t="shared" si="28"/>
        <v>3041.4509889452002</v>
      </c>
      <c r="BV8" s="6">
        <v>42.56783531</v>
      </c>
      <c r="BW8" s="6">
        <f t="shared" si="29"/>
        <v>3183.2227244818</v>
      </c>
      <c r="BX8" s="6">
        <f t="shared" si="30"/>
        <v>-141.77173553659983</v>
      </c>
      <c r="BZ8" s="5">
        <v>46059</v>
      </c>
      <c r="CA8" s="19">
        <v>1301199.8544861639</v>
      </c>
      <c r="CB8" s="6">
        <f>CA8*P8*O8</f>
        <v>3303.0555975136263</v>
      </c>
      <c r="CC8" s="6">
        <v>1268567.479173847</v>
      </c>
      <c r="CD8" s="6">
        <f t="shared" si="32"/>
        <v>3220.2193217763543</v>
      </c>
      <c r="CE8" s="6">
        <f t="shared" si="33"/>
        <v>6523.274919289981</v>
      </c>
      <c r="CF8" s="6"/>
      <c r="CG8" s="6">
        <f t="shared" si="34"/>
        <v>32632.37531231693</v>
      </c>
      <c r="CH8" s="6">
        <f t="shared" si="35"/>
        <v>82.836275737271862</v>
      </c>
      <c r="CI8" s="14">
        <v>18.747283589999999</v>
      </c>
      <c r="CJ8" s="6">
        <f t="shared" si="36"/>
        <v>3237.6558759929994</v>
      </c>
      <c r="CK8" s="6">
        <v>19.619597899999999</v>
      </c>
      <c r="CL8" s="6">
        <f t="shared" si="37"/>
        <v>3388.3045573299996</v>
      </c>
      <c r="CM8" s="6">
        <f t="shared" si="38"/>
        <v>-150.64868133700003</v>
      </c>
      <c r="CO8" s="5">
        <v>46059</v>
      </c>
      <c r="CP8" s="6">
        <v>1286683.7007511291</v>
      </c>
      <c r="CQ8" s="6">
        <f t="shared" si="39"/>
        <v>3266.2067900967136</v>
      </c>
      <c r="CR8" s="6">
        <v>1270740.3266866261</v>
      </c>
      <c r="CS8" s="6">
        <f t="shared" si="40"/>
        <v>3225.7350280030992</v>
      </c>
      <c r="CT8" s="6">
        <f t="shared" si="41"/>
        <v>6491.9418180998127</v>
      </c>
      <c r="CU8" s="6"/>
      <c r="CV8" s="6">
        <f t="shared" si="42"/>
        <v>15943.374064503005</v>
      </c>
      <c r="CW8" s="6">
        <f t="shared" si="43"/>
        <v>40.471762093614799</v>
      </c>
      <c r="CX8" s="14">
        <v>18.783645969999998</v>
      </c>
      <c r="CY8" s="6">
        <f t="shared" si="44"/>
        <v>3243.9356590189996</v>
      </c>
      <c r="CZ8" s="6">
        <v>19.400951389999999</v>
      </c>
      <c r="DA8" s="6">
        <f t="shared" si="45"/>
        <v>3350.5443050529998</v>
      </c>
      <c r="DB8" s="6">
        <f t="shared" si="46"/>
        <v>-106.60864603400016</v>
      </c>
      <c r="DD8" s="5">
        <v>46059</v>
      </c>
      <c r="DE8" s="6">
        <v>1316980.9066148689</v>
      </c>
      <c r="DF8" s="6">
        <f t="shared" si="47"/>
        <v>3343.1153103922115</v>
      </c>
      <c r="DG8" s="6">
        <v>1308651.333955213</v>
      </c>
      <c r="DH8" s="6">
        <f t="shared" si="48"/>
        <v>3321.9709477460615</v>
      </c>
      <c r="DI8" s="6">
        <f t="shared" si="49"/>
        <v>6665.0862581382735</v>
      </c>
      <c r="DJ8" s="6"/>
      <c r="DK8" s="6">
        <f t="shared" si="50"/>
        <v>8329.5726596559398</v>
      </c>
      <c r="DL8" s="6">
        <f t="shared" si="51"/>
        <v>21.144362646149968</v>
      </c>
      <c r="DM8" s="17">
        <v>7.6405858999999996</v>
      </c>
      <c r="DN8" s="6">
        <f>DM8*E8</f>
        <v>3437.1175671149999</v>
      </c>
      <c r="DO8" s="6">
        <v>7.8597677299999997</v>
      </c>
      <c r="DP8" s="6">
        <f t="shared" si="53"/>
        <v>3535.7165133405001</v>
      </c>
      <c r="DQ8" s="6">
        <f t="shared" si="54"/>
        <v>-98.598946225500072</v>
      </c>
      <c r="DS8" s="5">
        <v>46059</v>
      </c>
      <c r="DT8" s="6">
        <v>1340736.1357511741</v>
      </c>
      <c r="DU8" s="6">
        <f t="shared" si="55"/>
        <v>3403.4172250430379</v>
      </c>
      <c r="DV8" s="6">
        <v>1291938.1122837591</v>
      </c>
      <c r="DW8" s="6">
        <f t="shared" si="56"/>
        <v>3279.5449513058902</v>
      </c>
      <c r="DX8" s="6">
        <f t="shared" si="57"/>
        <v>6682.9621763489286</v>
      </c>
      <c r="DY8" s="6"/>
      <c r="DZ8" s="6">
        <f t="shared" si="58"/>
        <v>48798.023467415012</v>
      </c>
      <c r="EA8" s="6">
        <f>DZ8*P8*O8</f>
        <v>123.87227373714738</v>
      </c>
      <c r="EB8" s="17">
        <v>7.5422421699999997</v>
      </c>
      <c r="EC8" s="6">
        <f t="shared" si="60"/>
        <v>3392.8776401744999</v>
      </c>
      <c r="ED8" s="6">
        <v>8.0144951500000001</v>
      </c>
      <c r="EE8" s="6">
        <f t="shared" si="61"/>
        <v>3605.3206432275001</v>
      </c>
      <c r="EF8" s="6">
        <f t="shared" si="62"/>
        <v>-212.44300305300018</v>
      </c>
      <c r="EH8" s="5">
        <v>46059</v>
      </c>
      <c r="EI8" s="6">
        <v>3556642</v>
      </c>
      <c r="EJ8" s="6">
        <f t="shared" si="63"/>
        <v>9028.4257456293599</v>
      </c>
      <c r="EK8" s="6">
        <v>3652884</v>
      </c>
      <c r="EL8" s="6">
        <f t="shared" si="64"/>
        <v>9272.73308682672</v>
      </c>
      <c r="EM8" s="6">
        <f t="shared" si="65"/>
        <v>18301.15883245608</v>
      </c>
      <c r="EN8" s="6"/>
      <c r="EO8" s="6">
        <f t="shared" si="66"/>
        <v>-96242</v>
      </c>
      <c r="EP8" s="6">
        <f t="shared" si="67"/>
        <v>-244.30734119735999</v>
      </c>
      <c r="EQ8" s="17">
        <v>22.766010000000001</v>
      </c>
      <c r="ER8" s="6">
        <f>EQ8*F8</f>
        <v>8886.2566833000001</v>
      </c>
      <c r="ES8" s="6">
        <v>23.602360000000001</v>
      </c>
      <c r="ET8" s="6">
        <f>ES8*F8</f>
        <v>9212.7091787999998</v>
      </c>
      <c r="EU8" s="6">
        <f t="shared" si="70"/>
        <v>-326.45249549999977</v>
      </c>
      <c r="EW8" s="5">
        <v>46059</v>
      </c>
      <c r="EX8" s="6">
        <v>3319839</v>
      </c>
      <c r="EY8" s="6">
        <f t="shared" si="71"/>
        <v>8427.3086520781198</v>
      </c>
      <c r="EZ8" s="6">
        <v>3357675</v>
      </c>
      <c r="FA8" s="6">
        <f t="shared" si="72"/>
        <v>8523.3541681889983</v>
      </c>
      <c r="FB8" s="6">
        <f t="shared" si="73"/>
        <v>16950.66282026712</v>
      </c>
      <c r="FC8" s="6"/>
      <c r="FD8" s="6">
        <f t="shared" si="74"/>
        <v>-37836</v>
      </c>
      <c r="FE8" s="6">
        <f t="shared" si="75"/>
        <v>-96.045516110880001</v>
      </c>
      <c r="FF8" s="17">
        <v>21.058430000000001</v>
      </c>
      <c r="FG8" s="6">
        <f t="shared" si="76"/>
        <v>8219.7369818999996</v>
      </c>
      <c r="FH8" s="6">
        <v>22.02392</v>
      </c>
      <c r="FI8" s="6">
        <f t="shared" si="77"/>
        <v>8596.5966936000004</v>
      </c>
      <c r="FJ8" s="6">
        <f t="shared" si="78"/>
        <v>-376.85971169999965</v>
      </c>
      <c r="FL8" s="5">
        <v>46059</v>
      </c>
      <c r="FM8" s="6">
        <v>1008973</v>
      </c>
      <c r="FN8" s="6">
        <f t="shared" si="79"/>
        <v>2561.2467630548399</v>
      </c>
      <c r="FO8" s="6">
        <v>1002688</v>
      </c>
      <c r="FP8" s="6">
        <f t="shared" si="80"/>
        <v>2545.2924848870402</v>
      </c>
      <c r="FQ8" s="6">
        <f t="shared" si="81"/>
        <v>5106.5392479418806</v>
      </c>
      <c r="FR8" s="6"/>
      <c r="FS8" s="6">
        <f t="shared" si="82"/>
        <v>6285</v>
      </c>
      <c r="FT8" s="6">
        <f t="shared" si="83"/>
        <v>15.954278167799998</v>
      </c>
      <c r="FU8" s="17">
        <v>1279671</v>
      </c>
      <c r="FV8" s="6">
        <f t="shared" si="84"/>
        <v>2559.3420000000001</v>
      </c>
      <c r="FW8" s="6">
        <v>1342952</v>
      </c>
      <c r="FX8" s="6">
        <f t="shared" si="85"/>
        <v>2685.904</v>
      </c>
      <c r="FY8" s="6">
        <f t="shared" si="86"/>
        <v>-126.562</v>
      </c>
      <c r="GA8" s="5">
        <v>46059</v>
      </c>
      <c r="GB8" s="6">
        <v>992250.9</v>
      </c>
      <c r="GC8" s="6">
        <f t="shared" si="87"/>
        <v>2518.798229252172</v>
      </c>
      <c r="GD8" s="6">
        <v>970662.40000000002</v>
      </c>
      <c r="GE8" s="6">
        <f t="shared" si="88"/>
        <v>2463.9964895185922</v>
      </c>
      <c r="GF8" s="6">
        <f t="shared" si="89"/>
        <v>4982.7947187707641</v>
      </c>
      <c r="GG8" s="6"/>
      <c r="GH8" s="6">
        <f t="shared" si="90"/>
        <v>21588.5</v>
      </c>
      <c r="GI8" s="6">
        <f t="shared" si="91"/>
        <v>54.801739733579993</v>
      </c>
      <c r="GJ8" s="17">
        <v>1237635</v>
      </c>
      <c r="GK8" s="6">
        <f t="shared" si="92"/>
        <v>2475.27</v>
      </c>
      <c r="GL8" s="6">
        <v>1318827</v>
      </c>
      <c r="GM8" s="6">
        <f t="shared" si="93"/>
        <v>2637.654</v>
      </c>
      <c r="GN8" s="6">
        <f t="shared" si="94"/>
        <v>-162.38400000000001</v>
      </c>
      <c r="GP8" s="5">
        <v>46059</v>
      </c>
      <c r="GQ8" s="6">
        <v>1000670</v>
      </c>
      <c r="GR8" s="6">
        <f t="shared" si="95"/>
        <v>2540.1698542836002</v>
      </c>
      <c r="GS8" s="6">
        <v>980569</v>
      </c>
      <c r="GT8" s="6">
        <f t="shared" si="96"/>
        <v>2489.1440873065194</v>
      </c>
      <c r="GU8" s="6">
        <f t="shared" si="97"/>
        <v>5029.3139415901196</v>
      </c>
      <c r="GV8" s="6"/>
      <c r="GW8" s="6">
        <f t="shared" si="98"/>
        <v>20101</v>
      </c>
      <c r="GX8" s="6">
        <f t="shared" si="99"/>
        <v>51.025766977079996</v>
      </c>
      <c r="GY8" s="17">
        <v>745.11450000000002</v>
      </c>
      <c r="GZ8" s="6">
        <f t="shared" si="100"/>
        <v>2539.3502159999998</v>
      </c>
      <c r="HA8" s="6">
        <v>791.52700000000004</v>
      </c>
      <c r="HB8" s="6">
        <f t="shared" si="101"/>
        <v>2697.5240160000003</v>
      </c>
      <c r="HC8" s="6">
        <f t="shared" si="207"/>
        <v>-158.17380000000009</v>
      </c>
      <c r="HE8" s="5">
        <v>46059</v>
      </c>
      <c r="HF8" s="6">
        <v>966699.7</v>
      </c>
      <c r="HG8" s="6">
        <f t="shared" si="102"/>
        <v>2453.9372980952758</v>
      </c>
      <c r="HH8" s="6">
        <v>971081.8</v>
      </c>
      <c r="HI8" s="6">
        <f t="shared" si="103"/>
        <v>2465.0611234507437</v>
      </c>
      <c r="HJ8" s="6">
        <f t="shared" si="104"/>
        <v>4918.998421546019</v>
      </c>
      <c r="HK8" s="6"/>
      <c r="HL8" s="6">
        <f t="shared" si="105"/>
        <v>-4382.1000000000931</v>
      </c>
      <c r="HM8" s="6">
        <f t="shared" si="106"/>
        <v>-11.123825355468234</v>
      </c>
      <c r="HN8" s="17">
        <v>737.02949999999998</v>
      </c>
      <c r="HO8" s="6">
        <f t="shared" si="107"/>
        <v>2511.7965359999998</v>
      </c>
      <c r="HP8" s="6">
        <v>764.73069999999996</v>
      </c>
      <c r="HQ8" s="6">
        <f t="shared" si="108"/>
        <v>2606.2022255999996</v>
      </c>
      <c r="HR8" s="6">
        <f t="shared" si="109"/>
        <v>-94.405689599999903</v>
      </c>
      <c r="HT8" s="5">
        <v>46059</v>
      </c>
      <c r="HU8" s="6">
        <v>1002573</v>
      </c>
      <c r="HV8" s="6">
        <f t="shared" si="110"/>
        <v>2545.0005609428399</v>
      </c>
      <c r="HW8" s="6">
        <v>986686</v>
      </c>
      <c r="HX8" s="6">
        <f t="shared" si="111"/>
        <v>2504.6719026688797</v>
      </c>
      <c r="HY8" s="6">
        <f t="shared" si="112"/>
        <v>5049.6724636117196</v>
      </c>
      <c r="HZ8" s="6"/>
      <c r="IA8" s="6">
        <f t="shared" si="113"/>
        <v>15887</v>
      </c>
      <c r="IB8" s="6">
        <f t="shared" si="114"/>
        <v>40.328658273959995</v>
      </c>
      <c r="IC8" s="17">
        <v>4.2188670000000004</v>
      </c>
      <c r="ID8" s="6">
        <f t="shared" si="115"/>
        <v>2509.5930349500004</v>
      </c>
      <c r="IE8" s="6">
        <v>4.4905200000000001</v>
      </c>
      <c r="IF8" s="6">
        <f t="shared" si="116"/>
        <v>2671.1858219999999</v>
      </c>
      <c r="IG8" s="6">
        <f t="shared" si="117"/>
        <v>-161.59278704999983</v>
      </c>
      <c r="II8" s="5">
        <v>46059</v>
      </c>
      <c r="IJ8" s="6">
        <v>1007793</v>
      </c>
      <c r="IK8" s="6">
        <f t="shared" si="118"/>
        <v>2558.25136954044</v>
      </c>
      <c r="IL8" s="6">
        <v>975912.2</v>
      </c>
      <c r="IM8" s="6">
        <f t="shared" si="119"/>
        <v>2477.3229444947756</v>
      </c>
      <c r="IN8" s="6">
        <f t="shared" si="120"/>
        <v>5035.5743140352151</v>
      </c>
      <c r="IO8" s="6"/>
      <c r="IP8" s="6">
        <f t="shared" si="121"/>
        <v>31880.800000000047</v>
      </c>
      <c r="IQ8" s="6">
        <f t="shared" si="122"/>
        <v>80.928425045664113</v>
      </c>
      <c r="IR8" s="17">
        <v>4.1359069999999996</v>
      </c>
      <c r="IS8" s="6">
        <f t="shared" si="123"/>
        <v>2460.2442789499996</v>
      </c>
      <c r="IT8" s="6">
        <v>4.5147430000000002</v>
      </c>
      <c r="IU8" s="6">
        <f t="shared" si="124"/>
        <v>2685.5948735500001</v>
      </c>
      <c r="IV8" s="6">
        <f t="shared" si="125"/>
        <v>-225.35059460000036</v>
      </c>
      <c r="IX8" s="5">
        <v>46059</v>
      </c>
      <c r="IY8" s="6">
        <v>499253.2</v>
      </c>
      <c r="IZ8" s="6">
        <f t="shared" si="126"/>
        <v>1267.3388112910559</v>
      </c>
      <c r="JA8" s="6">
        <v>440847.3</v>
      </c>
      <c r="JB8" s="6">
        <f t="shared" si="127"/>
        <v>1119.0772400514838</v>
      </c>
      <c r="JC8" s="6">
        <f t="shared" si="128"/>
        <v>2386.4160513425395</v>
      </c>
      <c r="JD8" s="6"/>
      <c r="JE8" s="6">
        <f t="shared" si="129"/>
        <v>58405.900000000023</v>
      </c>
      <c r="JF8" s="6">
        <f t="shared" si="130"/>
        <v>148.26157123957205</v>
      </c>
      <c r="JG8" s="17">
        <v>9.0111460000000001</v>
      </c>
      <c r="JH8" s="6">
        <f t="shared" si="131"/>
        <v>981.40391086</v>
      </c>
      <c r="JI8" s="6">
        <v>10.439349999999999</v>
      </c>
      <c r="JJ8" s="6">
        <f t="shared" si="132"/>
        <v>1136.9496084999998</v>
      </c>
      <c r="JK8" s="6">
        <f t="shared" si="133"/>
        <v>-155.5456976399999</v>
      </c>
      <c r="JM8" s="5">
        <v>46059</v>
      </c>
      <c r="JN8" s="6">
        <v>448533.5</v>
      </c>
      <c r="JO8" s="6">
        <f t="shared" si="134"/>
        <v>1138.5884210941799</v>
      </c>
      <c r="JP8" s="6">
        <v>400959.2</v>
      </c>
      <c r="JQ8" s="6">
        <f t="shared" si="135"/>
        <v>1017.8225315415359</v>
      </c>
      <c r="JR8" s="6">
        <f t="shared" si="136"/>
        <v>2156.4109526357161</v>
      </c>
      <c r="JS8" s="6"/>
      <c r="JT8" s="6">
        <f t="shared" si="137"/>
        <v>47574.299999999988</v>
      </c>
      <c r="JU8" s="6">
        <f t="shared" si="138"/>
        <v>120.76588955264396</v>
      </c>
      <c r="JV8" s="14">
        <v>8.1794089999999997</v>
      </c>
      <c r="JW8" s="6">
        <f t="shared" si="139"/>
        <v>890.81943418999992</v>
      </c>
      <c r="JX8" s="6">
        <v>9.3670910000000003</v>
      </c>
      <c r="JY8" s="6">
        <f t="shared" si="140"/>
        <v>1020.16988081</v>
      </c>
      <c r="JZ8" s="6">
        <f t="shared" si="141"/>
        <v>-129.35044662000007</v>
      </c>
      <c r="KB8" s="5">
        <v>46059</v>
      </c>
      <c r="KC8" s="6">
        <v>555177.725183759</v>
      </c>
      <c r="KD8" s="6">
        <f t="shared" si="142"/>
        <v>1409.3014892837095</v>
      </c>
      <c r="KE8" s="6">
        <v>514603.13846909109</v>
      </c>
      <c r="KF8" s="6">
        <f t="shared" si="143"/>
        <v>1306.3041554747463</v>
      </c>
      <c r="KG8" s="6">
        <f t="shared" si="144"/>
        <v>2715.605644758456</v>
      </c>
      <c r="KH8" s="6"/>
      <c r="KI8" s="6">
        <f>KC8-KE8</f>
        <v>40574.586714667908</v>
      </c>
      <c r="KJ8" s="6">
        <f t="shared" si="146"/>
        <v>102.99733380896326</v>
      </c>
      <c r="KK8" s="17">
        <v>2.0313502749999999</v>
      </c>
      <c r="KL8" s="6">
        <f t="shared" si="147"/>
        <v>1378.8602531672498</v>
      </c>
      <c r="KM8" s="6">
        <v>2.2356540740000002</v>
      </c>
      <c r="KN8" s="6">
        <f t="shared" si="148"/>
        <v>1517.5396288904601</v>
      </c>
      <c r="KO8" s="6">
        <f t="shared" si="149"/>
        <v>-138.6793757232102</v>
      </c>
      <c r="KQ8" s="5">
        <v>46059</v>
      </c>
      <c r="KR8" s="6">
        <v>1322328.9981792141</v>
      </c>
      <c r="KS8" s="6">
        <f t="shared" si="150"/>
        <v>3356.6912754653113</v>
      </c>
      <c r="KT8" s="6">
        <v>1313030.8119911901</v>
      </c>
      <c r="KU8" s="6">
        <f t="shared" si="151"/>
        <v>3333.0881173269286</v>
      </c>
      <c r="KV8" s="6">
        <f t="shared" si="152"/>
        <v>6689.7793927922394</v>
      </c>
      <c r="KW8" s="6"/>
      <c r="KX8" s="6">
        <f t="shared" si="153"/>
        <v>9298.1861880240031</v>
      </c>
      <c r="KY8" s="6">
        <f t="shared" si="154"/>
        <v>23.603158138381996</v>
      </c>
      <c r="KZ8" s="17">
        <v>5.0624470049999992</v>
      </c>
      <c r="LA8" s="6">
        <f t="shared" si="155"/>
        <v>3436.3384025239493</v>
      </c>
      <c r="LB8" s="6">
        <v>5.2088762859999997</v>
      </c>
      <c r="LC8" s="6">
        <f t="shared" si="156"/>
        <v>3535.7331341739396</v>
      </c>
      <c r="LD8" s="6">
        <f t="shared" si="157"/>
        <v>-99.394731649990348</v>
      </c>
      <c r="LF8" s="5">
        <v>46059</v>
      </c>
      <c r="LG8" s="6">
        <v>1216834.8238038199</v>
      </c>
      <c r="LH8" s="6">
        <f t="shared" si="158"/>
        <v>3088.897575693245</v>
      </c>
      <c r="LI8" s="6">
        <v>1175245.2255317699</v>
      </c>
      <c r="LJ8" s="6">
        <f t="shared" si="159"/>
        <v>2983.3236664300243</v>
      </c>
      <c r="LK8" s="6">
        <f t="shared" si="160"/>
        <v>6072.2212421232689</v>
      </c>
      <c r="LL8" s="6"/>
      <c r="LM8" s="6">
        <f t="shared" si="161"/>
        <v>41589.598272050032</v>
      </c>
      <c r="LN8" s="6">
        <f t="shared" si="162"/>
        <v>105.57390926322043</v>
      </c>
      <c r="LO8" s="17">
        <v>57.837042199999999</v>
      </c>
      <c r="LP8" s="6">
        <f t="shared" si="163"/>
        <v>2976.2941916119998</v>
      </c>
      <c r="LQ8" s="6">
        <v>61.111782129999987</v>
      </c>
      <c r="LR8" s="6">
        <f t="shared" si="164"/>
        <v>3144.8123084097992</v>
      </c>
      <c r="LS8" s="6">
        <f t="shared" si="165"/>
        <v>-168.51811679779939</v>
      </c>
      <c r="LU8" s="5">
        <v>46059</v>
      </c>
      <c r="LV8" s="6">
        <v>1180085.9257425801</v>
      </c>
      <c r="LW8" s="6">
        <f t="shared" si="166"/>
        <v>2995.6116342407154</v>
      </c>
      <c r="LX8" s="6">
        <v>1156079.2833344869</v>
      </c>
      <c r="LY8" s="6">
        <f t="shared" si="167"/>
        <v>2934.6715147731538</v>
      </c>
      <c r="LZ8" s="6">
        <f t="shared" si="168"/>
        <v>5930.2831490138688</v>
      </c>
      <c r="MA8" s="6"/>
      <c r="MB8" s="6">
        <f t="shared" si="169"/>
        <v>24006.642408093205</v>
      </c>
      <c r="MC8" s="6">
        <f t="shared" si="170"/>
        <v>60.940119467561331</v>
      </c>
      <c r="MD8" s="17">
        <v>56.973811769999998</v>
      </c>
      <c r="ME8" s="6">
        <f t="shared" si="171"/>
        <v>2931.8723536841999</v>
      </c>
      <c r="MF8" s="6">
        <v>59.293290769999999</v>
      </c>
      <c r="MG8" s="6">
        <f t="shared" si="172"/>
        <v>3051.2327430241999</v>
      </c>
      <c r="MH8" s="6">
        <f t="shared" si="173"/>
        <v>-119.36038934000007</v>
      </c>
      <c r="MJ8" s="5">
        <v>46059</v>
      </c>
      <c r="MK8" s="6">
        <v>1363847</v>
      </c>
      <c r="ML8" s="6">
        <f t="shared" si="174"/>
        <v>3462.0834393507598</v>
      </c>
      <c r="MM8" s="6">
        <v>1332855</v>
      </c>
      <c r="MN8" s="6">
        <f t="shared" si="175"/>
        <v>3383.4112056233998</v>
      </c>
      <c r="MO8" s="6">
        <f t="shared" si="176"/>
        <v>6845.4946449741601</v>
      </c>
      <c r="MP8" s="6"/>
      <c r="MQ8" s="6">
        <f t="shared" si="177"/>
        <v>30992</v>
      </c>
      <c r="MR8" s="6">
        <f t="shared" si="178"/>
        <v>78.672233727359995</v>
      </c>
      <c r="MS8" s="17">
        <v>10.71974</v>
      </c>
      <c r="MT8" s="6">
        <f t="shared" si="179"/>
        <v>3505.0333878000001</v>
      </c>
      <c r="MU8" s="6">
        <v>11.205769999999999</v>
      </c>
      <c r="MV8" s="6">
        <f t="shared" si="180"/>
        <v>3663.9506169000001</v>
      </c>
      <c r="MW8" s="6">
        <f t="shared" si="181"/>
        <v>-158.91722909999984</v>
      </c>
      <c r="MY8" s="5">
        <v>46059</v>
      </c>
      <c r="MZ8" s="6">
        <v>1399864</v>
      </c>
      <c r="NA8" s="6">
        <f t="shared" si="182"/>
        <v>3553.5114802051198</v>
      </c>
      <c r="NB8" s="6">
        <v>1346127</v>
      </c>
      <c r="NC8" s="6">
        <f t="shared" si="183"/>
        <v>3417.1017672531593</v>
      </c>
      <c r="ND8" s="6">
        <f t="shared" si="184"/>
        <v>6970.6132474582791</v>
      </c>
      <c r="NE8" s="6"/>
      <c r="NF8" s="6">
        <f t="shared" si="185"/>
        <v>53737</v>
      </c>
      <c r="NG8" s="6">
        <f t="shared" si="186"/>
        <v>136.40971295195999</v>
      </c>
      <c r="NH8" s="17">
        <v>10.825379999999999</v>
      </c>
      <c r="NI8" s="6">
        <f t="shared" si="187"/>
        <v>3539.5744986</v>
      </c>
      <c r="NJ8" s="6">
        <v>11.51871</v>
      </c>
      <c r="NK8" s="6">
        <f t="shared" si="188"/>
        <v>3766.2726087000005</v>
      </c>
      <c r="NL8" s="6">
        <f t="shared" si="189"/>
        <v>-226.69811010000046</v>
      </c>
      <c r="NN8" s="5">
        <v>46059</v>
      </c>
      <c r="NO8" s="6">
        <v>1303940</v>
      </c>
      <c r="NP8" s="6">
        <f t="shared" si="190"/>
        <v>3310.0113721752</v>
      </c>
      <c r="NQ8" s="6">
        <v>1291648</v>
      </c>
      <c r="NR8" s="6">
        <f t="shared" si="191"/>
        <v>3278.8085102438399</v>
      </c>
      <c r="NS8" s="6">
        <f t="shared" si="192"/>
        <v>6588.8198824190404</v>
      </c>
      <c r="NT8" s="6"/>
      <c r="NU8" s="6">
        <f t="shared" si="193"/>
        <v>12292</v>
      </c>
      <c r="NV8" s="6">
        <f t="shared" si="194"/>
        <v>31.202861931359998</v>
      </c>
      <c r="NW8" s="17">
        <v>524436.5</v>
      </c>
      <c r="NX8" s="6">
        <f t="shared" si="195"/>
        <v>3314.4386800000002</v>
      </c>
      <c r="NY8" s="6">
        <v>551349.6</v>
      </c>
      <c r="NZ8" s="6">
        <f t="shared" si="196"/>
        <v>3484.5294719999997</v>
      </c>
      <c r="OA8" s="6">
        <f t="shared" si="197"/>
        <v>-170.09079199999985</v>
      </c>
      <c r="OC8" s="5">
        <v>46059</v>
      </c>
      <c r="OD8" s="6">
        <v>1268032</v>
      </c>
      <c r="OE8" s="6">
        <f t="shared" si="198"/>
        <v>3218.8600244505601</v>
      </c>
      <c r="OF8" s="6">
        <v>1246847</v>
      </c>
      <c r="OG8" s="6">
        <f t="shared" si="199"/>
        <v>3165.0825569907602</v>
      </c>
      <c r="OH8" s="6">
        <f t="shared" si="200"/>
        <v>6383.9425814413207</v>
      </c>
      <c r="OI8" s="6"/>
      <c r="OJ8" s="6">
        <f t="shared" si="201"/>
        <v>21185</v>
      </c>
      <c r="OK8" s="6">
        <f t="shared" si="202"/>
        <v>53.7774674598</v>
      </c>
      <c r="OL8" s="23">
        <v>506196.5</v>
      </c>
      <c r="OM8" s="6">
        <f t="shared" si="203"/>
        <v>3199.1618800000001</v>
      </c>
      <c r="ON8" s="6">
        <v>536353.30000000005</v>
      </c>
      <c r="OO8" s="6">
        <f t="shared" si="204"/>
        <v>3389.7528560000005</v>
      </c>
      <c r="OP8" s="6">
        <f t="shared" si="205"/>
        <v>-190.5909760000003</v>
      </c>
    </row>
    <row r="9" spans="1:406" x14ac:dyDescent="0.2">
      <c r="A9" s="5">
        <v>46060</v>
      </c>
      <c r="B9" s="10">
        <v>165.9</v>
      </c>
      <c r="C9" s="6">
        <v>84.3</v>
      </c>
      <c r="D9" s="6">
        <v>185.27</v>
      </c>
      <c r="E9" s="6">
        <v>452.85</v>
      </c>
      <c r="F9" s="6">
        <v>412.8</v>
      </c>
      <c r="G9" s="2">
        <v>2.0600000000000002E-3</v>
      </c>
      <c r="H9" s="6">
        <v>3.3719999999999999</v>
      </c>
      <c r="I9" s="6">
        <v>610.86</v>
      </c>
      <c r="J9" s="6">
        <v>135.31</v>
      </c>
      <c r="K9" s="6">
        <v>693.54</v>
      </c>
      <c r="L9" s="6">
        <v>56.93</v>
      </c>
      <c r="M9" s="6">
        <v>324.42</v>
      </c>
      <c r="N9" s="6">
        <v>6.6499999999999997E-3</v>
      </c>
      <c r="O9" s="6">
        <v>87.497</v>
      </c>
      <c r="P9" s="7">
        <v>3.1199999999999999E-5</v>
      </c>
      <c r="R9" s="5">
        <v>46060</v>
      </c>
      <c r="S9" s="6">
        <v>1248757.0293166561</v>
      </c>
      <c r="T9" s="6">
        <f t="shared" si="0"/>
        <v>3408.9898063765268</v>
      </c>
      <c r="U9" s="6">
        <v>1209432.4545538931</v>
      </c>
      <c r="V9" s="6">
        <f t="shared" si="1"/>
        <v>3301.6373980543822</v>
      </c>
      <c r="W9" s="6">
        <f t="shared" si="2"/>
        <v>6710.6272044309089</v>
      </c>
      <c r="X9" s="6"/>
      <c r="Y9" s="6">
        <f t="shared" si="3"/>
        <v>39324.57476276299</v>
      </c>
      <c r="Z9" s="6">
        <f t="shared" si="4"/>
        <v>107.35240832214515</v>
      </c>
      <c r="AA9" s="6">
        <v>19.61332882</v>
      </c>
      <c r="AB9" s="6">
        <f t="shared" si="5"/>
        <v>3253.8512512380003</v>
      </c>
      <c r="AC9" s="6">
        <v>20.65278979</v>
      </c>
      <c r="AD9" s="6">
        <f t="shared" si="6"/>
        <v>3426.2978261610001</v>
      </c>
      <c r="AE9" s="6">
        <f t="shared" si="7"/>
        <v>-172.44657492300007</v>
      </c>
      <c r="AG9" s="5">
        <v>46060</v>
      </c>
      <c r="AH9" s="6">
        <v>1263360.2739087259</v>
      </c>
      <c r="AI9" s="6">
        <f t="shared" si="8"/>
        <v>3448.8552972491839</v>
      </c>
      <c r="AJ9" s="6">
        <v>1206931.8320032179</v>
      </c>
      <c r="AK9" s="6">
        <f t="shared" si="9"/>
        <v>3294.8109325493092</v>
      </c>
      <c r="AL9" s="6">
        <f t="shared" si="10"/>
        <v>6743.6662297984931</v>
      </c>
      <c r="AM9" s="6"/>
      <c r="AN9" s="6">
        <f t="shared" si="11"/>
        <v>56428.441905508051</v>
      </c>
      <c r="AO9" s="6">
        <f t="shared" si="12"/>
        <v>154.04436469987462</v>
      </c>
      <c r="AP9" s="6">
        <v>19.56480161</v>
      </c>
      <c r="AQ9" s="6">
        <f t="shared" si="13"/>
        <v>3245.800587099</v>
      </c>
      <c r="AR9" s="6">
        <v>20.90530549</v>
      </c>
      <c r="AS9" s="6">
        <f t="shared" si="14"/>
        <v>3468.1901807910003</v>
      </c>
      <c r="AT9" s="6">
        <f t="shared" si="15"/>
        <v>-222.38959369200001</v>
      </c>
      <c r="AV9" s="5">
        <v>46060</v>
      </c>
      <c r="AW9" s="6">
        <v>1295282.8070822121</v>
      </c>
      <c r="AX9" s="6">
        <f t="shared" si="16"/>
        <v>3536.0008248636964</v>
      </c>
      <c r="AY9" s="6">
        <v>1253004.189858529</v>
      </c>
      <c r="AZ9" s="6">
        <f t="shared" si="17"/>
        <v>3420.5841571216133</v>
      </c>
      <c r="BA9" s="6">
        <f t="shared" si="18"/>
        <v>6956.5849819853102</v>
      </c>
      <c r="BB9" s="6"/>
      <c r="BC9" s="6">
        <f t="shared" si="206"/>
        <v>42278.617223683046</v>
      </c>
      <c r="BD9" s="6">
        <f t="shared" si="19"/>
        <v>115.41666774208257</v>
      </c>
      <c r="BE9" s="6">
        <v>39.937006770000004</v>
      </c>
      <c r="BF9" s="6">
        <f t="shared" si="20"/>
        <v>3366.689670711</v>
      </c>
      <c r="BG9" s="6">
        <v>42.113514879999997</v>
      </c>
      <c r="BH9" s="6">
        <f t="shared" si="21"/>
        <v>3550.1693043839996</v>
      </c>
      <c r="BI9" s="6">
        <f t="shared" si="22"/>
        <v>-183.47963367299943</v>
      </c>
      <c r="BK9" s="5">
        <v>46060</v>
      </c>
      <c r="BL9" s="6">
        <v>1227112.88153965</v>
      </c>
      <c r="BM9" s="6">
        <f>BL9*P9*O9</f>
        <v>3349.9033088375327</v>
      </c>
      <c r="BN9" s="6">
        <v>1194105.43788588</v>
      </c>
      <c r="BO9" s="6">
        <f t="shared" si="24"/>
        <v>3259.7960771594662</v>
      </c>
      <c r="BP9" s="6">
        <f t="shared" si="25"/>
        <v>6609.6993859969989</v>
      </c>
      <c r="BQ9" s="6"/>
      <c r="BR9" s="6">
        <f t="shared" si="26"/>
        <v>33007.443653770024</v>
      </c>
      <c r="BS9" s="6">
        <f t="shared" si="27"/>
        <v>90.107231678066171</v>
      </c>
      <c r="BT9" s="6">
        <v>38.055048489999997</v>
      </c>
      <c r="BU9" s="6">
        <f t="shared" si="28"/>
        <v>3208.0405877069998</v>
      </c>
      <c r="BV9" s="6">
        <v>39.904573550000002</v>
      </c>
      <c r="BW9" s="6">
        <f t="shared" si="29"/>
        <v>3363.9555502650001</v>
      </c>
      <c r="BX9" s="6">
        <f t="shared" si="30"/>
        <v>-155.91496255800041</v>
      </c>
      <c r="BZ9" s="5">
        <v>46060</v>
      </c>
      <c r="CA9" s="6">
        <v>1205295.089380767</v>
      </c>
      <c r="CB9" s="6">
        <f t="shared" si="31"/>
        <v>3290.3427783891279</v>
      </c>
      <c r="CC9" s="6">
        <v>1255172.2394732139</v>
      </c>
      <c r="CD9" s="6">
        <f t="shared" si="32"/>
        <v>3426.5027296402591</v>
      </c>
      <c r="CE9" s="6">
        <f t="shared" si="33"/>
        <v>6716.845508029387</v>
      </c>
      <c r="CF9" s="6"/>
      <c r="CG9" s="6">
        <f t="shared" si="34"/>
        <v>-49877.150092446944</v>
      </c>
      <c r="CH9" s="6">
        <f t="shared" si="35"/>
        <v>-136.1599512511315</v>
      </c>
      <c r="CI9" s="6">
        <v>18.108345150000002</v>
      </c>
      <c r="CJ9" s="6">
        <f t="shared" si="36"/>
        <v>3354.9331059405004</v>
      </c>
      <c r="CK9" s="6">
        <v>17.73772018</v>
      </c>
      <c r="CL9" s="6">
        <f t="shared" si="37"/>
        <v>3286.2674177486001</v>
      </c>
      <c r="CM9" s="6">
        <f t="shared" si="38"/>
        <v>68.665688191900287</v>
      </c>
      <c r="CO9" s="5">
        <v>46060</v>
      </c>
      <c r="CP9" s="6">
        <v>1174465.854964107</v>
      </c>
      <c r="CQ9" s="6">
        <f t="shared" si="39"/>
        <v>3206.1818540479871</v>
      </c>
      <c r="CR9" s="6">
        <v>1257832.3900472459</v>
      </c>
      <c r="CS9" s="6">
        <f t="shared" si="40"/>
        <v>3433.7646917172729</v>
      </c>
      <c r="CT9" s="6">
        <f t="shared" si="41"/>
        <v>6639.9465457652605</v>
      </c>
      <c r="CU9" s="6"/>
      <c r="CV9" s="6">
        <f t="shared" si="42"/>
        <v>-83366.53508313885</v>
      </c>
      <c r="CW9" s="6">
        <f t="shared" si="43"/>
        <v>-227.58283766928528</v>
      </c>
      <c r="CX9" s="6">
        <v>18.133982849999999</v>
      </c>
      <c r="CY9" s="6">
        <f t="shared" si="44"/>
        <v>3359.6830026194998</v>
      </c>
      <c r="CZ9" s="6">
        <v>17.287822769999998</v>
      </c>
      <c r="DA9" s="6">
        <f t="shared" si="45"/>
        <v>3202.9149245978997</v>
      </c>
      <c r="DB9" s="6">
        <f t="shared" si="46"/>
        <v>156.76807802160013</v>
      </c>
      <c r="DD9" s="5">
        <v>46060</v>
      </c>
      <c r="DE9" s="6">
        <v>1305707.384472169</v>
      </c>
      <c r="DF9" s="6">
        <f t="shared" si="47"/>
        <v>3564.4589453978347</v>
      </c>
      <c r="DG9" s="6">
        <v>1266349.8885048651</v>
      </c>
      <c r="DH9" s="6">
        <f t="shared" si="48"/>
        <v>3457.0166652687176</v>
      </c>
      <c r="DI9" s="6">
        <f t="shared" si="49"/>
        <v>7021.4756106665518</v>
      </c>
      <c r="DJ9" s="6"/>
      <c r="DK9" s="6">
        <f t="shared" si="50"/>
        <v>39357.495967303868</v>
      </c>
      <c r="DL9" s="6">
        <f t="shared" si="51"/>
        <v>107.44228012911702</v>
      </c>
      <c r="DM9" s="6">
        <v>7.4187332700000006</v>
      </c>
      <c r="DN9" s="6">
        <f t="shared" si="52"/>
        <v>3359.5733613195002</v>
      </c>
      <c r="DO9" s="6">
        <v>7.8033228299999999</v>
      </c>
      <c r="DP9" s="6">
        <f t="shared" si="53"/>
        <v>3533.7347435655001</v>
      </c>
      <c r="DQ9" s="6">
        <f t="shared" si="54"/>
        <v>-174.1613822459997</v>
      </c>
      <c r="DS9" s="5">
        <v>46060</v>
      </c>
      <c r="DT9" s="6">
        <v>1232783.3313472411</v>
      </c>
      <c r="DU9" s="6">
        <f t="shared" si="55"/>
        <v>3365.3831060581542</v>
      </c>
      <c r="DV9" s="6">
        <v>1212976.7680730149</v>
      </c>
      <c r="DW9" s="6">
        <f t="shared" si="56"/>
        <v>3311.3130422138393</v>
      </c>
      <c r="DX9" s="6">
        <f t="shared" si="57"/>
        <v>6676.6961482719935</v>
      </c>
      <c r="DY9" s="6"/>
      <c r="DZ9" s="6">
        <f t="shared" si="58"/>
        <v>19806.563274226151</v>
      </c>
      <c r="EA9" s="6">
        <f t="shared" si="59"/>
        <v>54.070063844314923</v>
      </c>
      <c r="EB9" s="6">
        <v>7.1060110299999986</v>
      </c>
      <c r="EC9" s="6">
        <f t="shared" si="60"/>
        <v>3217.9570949354993</v>
      </c>
      <c r="ED9" s="6">
        <v>7.3676347</v>
      </c>
      <c r="EE9" s="6">
        <f t="shared" si="61"/>
        <v>3336.4333738950004</v>
      </c>
      <c r="EF9" s="6">
        <f t="shared" si="62"/>
        <v>-118.47627895950065</v>
      </c>
      <c r="EH9" s="5">
        <v>46060</v>
      </c>
      <c r="EI9" s="6">
        <v>3543798</v>
      </c>
      <c r="EJ9" s="6">
        <f t="shared" si="63"/>
        <v>9674.2368405071993</v>
      </c>
      <c r="EK9" s="6">
        <v>3632326</v>
      </c>
      <c r="EL9" s="6">
        <f t="shared" si="64"/>
        <v>9915.9099942863995</v>
      </c>
      <c r="EM9" s="6">
        <f t="shared" si="65"/>
        <v>19590.146834793599</v>
      </c>
      <c r="EN9" s="6"/>
      <c r="EO9" s="6">
        <f t="shared" si="66"/>
        <v>-88528</v>
      </c>
      <c r="EP9" s="6">
        <f t="shared" si="67"/>
        <v>-241.67315377919999</v>
      </c>
      <c r="EQ9" s="6">
        <v>23.792010000000001</v>
      </c>
      <c r="ER9" s="6">
        <f t="shared" si="68"/>
        <v>9821.3417280000012</v>
      </c>
      <c r="ES9" s="6">
        <v>23.319510000000001</v>
      </c>
      <c r="ET9" s="6">
        <f t="shared" si="69"/>
        <v>9626.2937280000006</v>
      </c>
      <c r="EU9" s="6">
        <f t="shared" si="70"/>
        <v>195.04800000000006</v>
      </c>
      <c r="EW9" s="5">
        <v>46060</v>
      </c>
      <c r="EX9" s="6">
        <v>3479017</v>
      </c>
      <c r="EY9" s="6">
        <f t="shared" si="71"/>
        <v>9497.3907740087998</v>
      </c>
      <c r="EZ9" s="6">
        <v>3546934</v>
      </c>
      <c r="FA9" s="6">
        <f t="shared" si="72"/>
        <v>9682.7978269776013</v>
      </c>
      <c r="FB9" s="6">
        <f t="shared" si="73"/>
        <v>19180.188600986403</v>
      </c>
      <c r="FC9" s="6"/>
      <c r="FD9" s="6">
        <f t="shared" si="74"/>
        <v>-67917</v>
      </c>
      <c r="FE9" s="6">
        <f t="shared" si="75"/>
        <v>-185.4070529688</v>
      </c>
      <c r="FF9" s="6">
        <v>23.188009999999998</v>
      </c>
      <c r="FG9" s="6">
        <f t="shared" si="76"/>
        <v>9572.0105279999989</v>
      </c>
      <c r="FH9" s="6">
        <v>22.915800000000001</v>
      </c>
      <c r="FI9" s="6">
        <f t="shared" si="77"/>
        <v>9459.642240000001</v>
      </c>
      <c r="FJ9" s="6">
        <f t="shared" si="78"/>
        <v>112.36828799999903</v>
      </c>
      <c r="FL9" s="5">
        <v>46060</v>
      </c>
      <c r="FM9" s="6">
        <v>916457.2</v>
      </c>
      <c r="FN9" s="6">
        <f t="shared" si="79"/>
        <v>2501.8423756060797</v>
      </c>
      <c r="FO9" s="6">
        <v>974073.2</v>
      </c>
      <c r="FP9" s="6">
        <f t="shared" si="80"/>
        <v>2659.1286627484797</v>
      </c>
      <c r="FQ9" s="6">
        <f t="shared" si="81"/>
        <v>5160.9710383545589</v>
      </c>
      <c r="FR9" s="6"/>
      <c r="FS9" s="6">
        <f t="shared" si="82"/>
        <v>-57616</v>
      </c>
      <c r="FT9" s="6">
        <f t="shared" si="83"/>
        <v>-157.2862871424</v>
      </c>
      <c r="FU9" s="6">
        <v>1244898</v>
      </c>
      <c r="FV9" s="6">
        <f t="shared" si="84"/>
        <v>2564.4898800000001</v>
      </c>
      <c r="FW9" s="6">
        <v>1218567</v>
      </c>
      <c r="FX9" s="6">
        <f t="shared" si="85"/>
        <v>2510.2480200000005</v>
      </c>
      <c r="FY9" s="6">
        <f t="shared" si="86"/>
        <v>54.241860000000003</v>
      </c>
      <c r="GA9" s="5">
        <v>46060</v>
      </c>
      <c r="GB9" s="6">
        <v>925059.3</v>
      </c>
      <c r="GC9" s="6">
        <f t="shared" si="87"/>
        <v>2525.3253034495201</v>
      </c>
      <c r="GD9" s="6">
        <v>997407.4</v>
      </c>
      <c r="GE9" s="6">
        <f t="shared" si="88"/>
        <v>2722.82884466736</v>
      </c>
      <c r="GF9" s="6">
        <f t="shared" si="89"/>
        <v>5248.1541481168806</v>
      </c>
      <c r="GG9" s="6"/>
      <c r="GH9" s="6">
        <f t="shared" si="90"/>
        <v>-72348.099999999977</v>
      </c>
      <c r="GI9" s="6">
        <f t="shared" si="91"/>
        <v>-197.50354121783994</v>
      </c>
      <c r="GJ9" s="6">
        <v>1273933</v>
      </c>
      <c r="GK9" s="6">
        <f t="shared" si="92"/>
        <v>2624.3019800000002</v>
      </c>
      <c r="GL9" s="6">
        <v>1230361</v>
      </c>
      <c r="GM9" s="6">
        <f t="shared" si="93"/>
        <v>2534.5436600000003</v>
      </c>
      <c r="GN9" s="6">
        <f t="shared" si="94"/>
        <v>89.758320000000012</v>
      </c>
      <c r="GP9" s="5">
        <v>46060</v>
      </c>
      <c r="GQ9" s="6">
        <v>933039.3</v>
      </c>
      <c r="GR9" s="6">
        <f t="shared" si="95"/>
        <v>2547.10995652152</v>
      </c>
      <c r="GS9" s="6">
        <v>994168.2</v>
      </c>
      <c r="GT9" s="6">
        <f t="shared" si="96"/>
        <v>2713.9861318564799</v>
      </c>
      <c r="GU9" s="6">
        <f t="shared" si="97"/>
        <v>5261.0960883779999</v>
      </c>
      <c r="GV9" s="6"/>
      <c r="GW9" s="6">
        <f t="shared" si="98"/>
        <v>-61128.899999999907</v>
      </c>
      <c r="GX9" s="6">
        <f t="shared" si="99"/>
        <v>-166.87617533495975</v>
      </c>
      <c r="GY9" s="6">
        <v>772.77139999999997</v>
      </c>
      <c r="GZ9" s="6">
        <f t="shared" si="100"/>
        <v>2605.7851607999996</v>
      </c>
      <c r="HA9" s="6">
        <v>754.65989999999999</v>
      </c>
      <c r="HB9" s="6">
        <f t="shared" si="101"/>
        <v>2544.7131827999997</v>
      </c>
      <c r="HC9" s="6">
        <f t="shared" si="207"/>
        <v>61.071977999999923</v>
      </c>
      <c r="HE9" s="5">
        <v>46060</v>
      </c>
      <c r="HF9" s="6">
        <v>905778.9</v>
      </c>
      <c r="HG9" s="6">
        <f t="shared" si="102"/>
        <v>2472.69161609496</v>
      </c>
      <c r="HH9" s="6">
        <v>975725.4</v>
      </c>
      <c r="HI9" s="6">
        <f t="shared" si="103"/>
        <v>2663.6390141025599</v>
      </c>
      <c r="HJ9" s="6">
        <f t="shared" si="104"/>
        <v>5136.3306301975199</v>
      </c>
      <c r="HK9" s="6"/>
      <c r="HL9" s="6">
        <f t="shared" si="105"/>
        <v>-69946.5</v>
      </c>
      <c r="HM9" s="6">
        <f t="shared" si="106"/>
        <v>-190.94739800759999</v>
      </c>
      <c r="HN9" s="6">
        <v>757.97720000000004</v>
      </c>
      <c r="HO9" s="6">
        <f t="shared" si="107"/>
        <v>2555.8991184000001</v>
      </c>
      <c r="HP9" s="6">
        <v>732.66039999999998</v>
      </c>
      <c r="HQ9" s="6">
        <f t="shared" si="108"/>
        <v>2470.5308688</v>
      </c>
      <c r="HR9" s="6">
        <f t="shared" si="109"/>
        <v>85.368249600000198</v>
      </c>
      <c r="HT9" s="5">
        <v>46060</v>
      </c>
      <c r="HU9" s="6">
        <v>914125.7</v>
      </c>
      <c r="HV9" s="6">
        <f t="shared" si="110"/>
        <v>2495.4775988344795</v>
      </c>
      <c r="HW9" s="6">
        <v>991848.7</v>
      </c>
      <c r="HX9" s="6">
        <f t="shared" si="111"/>
        <v>2707.6541139616797</v>
      </c>
      <c r="HY9" s="6">
        <f t="shared" si="112"/>
        <v>5203.1317127961593</v>
      </c>
      <c r="HZ9" s="6"/>
      <c r="IA9" s="6">
        <f t="shared" si="113"/>
        <v>-77723</v>
      </c>
      <c r="IB9" s="6">
        <f t="shared" si="114"/>
        <v>-212.17651512719999</v>
      </c>
      <c r="IC9" s="6">
        <v>4.3225290000000003</v>
      </c>
      <c r="ID9" s="6">
        <f>IC9*I9</f>
        <v>2640.4600649400004</v>
      </c>
      <c r="IE9" s="6">
        <v>4.1480800000000002</v>
      </c>
      <c r="IF9" s="6">
        <f t="shared" si="116"/>
        <v>2533.8961488</v>
      </c>
      <c r="IG9" s="6">
        <f t="shared" si="117"/>
        <v>106.56391614000005</v>
      </c>
      <c r="II9" s="5">
        <v>46060</v>
      </c>
      <c r="IJ9" s="6">
        <v>916705.3</v>
      </c>
      <c r="IK9" s="6">
        <f t="shared" si="118"/>
        <v>2502.5196653839203</v>
      </c>
      <c r="IL9" s="6">
        <v>986929.2</v>
      </c>
      <c r="IM9" s="6">
        <f t="shared" si="119"/>
        <v>2694.2243394268799</v>
      </c>
      <c r="IN9" s="6">
        <f t="shared" si="120"/>
        <v>5196.7440048108001</v>
      </c>
      <c r="IO9" s="6"/>
      <c r="IP9" s="6">
        <f t="shared" si="121"/>
        <v>-70223.899999999907</v>
      </c>
      <c r="IQ9" s="6">
        <f t="shared" si="122"/>
        <v>-191.70467404295974</v>
      </c>
      <c r="IR9" s="6">
        <v>4.3003030000000004</v>
      </c>
      <c r="IS9" s="6">
        <f t="shared" si="123"/>
        <v>2626.8830905800005</v>
      </c>
      <c r="IT9" s="6">
        <v>4.1595170000000001</v>
      </c>
      <c r="IU9" s="6">
        <f t="shared" si="124"/>
        <v>2540.8825546200001</v>
      </c>
      <c r="IV9" s="6">
        <f t="shared" si="125"/>
        <v>86.000535960000178</v>
      </c>
      <c r="IX9" s="5">
        <v>46060</v>
      </c>
      <c r="IY9" s="6">
        <v>1258557</v>
      </c>
      <c r="IZ9" s="6">
        <f t="shared" si="126"/>
        <v>3435.7428090648</v>
      </c>
      <c r="JA9" s="6">
        <v>1235550</v>
      </c>
      <c r="JB9" s="6">
        <f t="shared" si="127"/>
        <v>3372.93585252</v>
      </c>
      <c r="JC9" s="6">
        <f t="shared" si="128"/>
        <v>6808.6786615847996</v>
      </c>
      <c r="JD9" s="6"/>
      <c r="JE9" s="6">
        <f t="shared" si="129"/>
        <v>23007</v>
      </c>
      <c r="JF9" s="6">
        <f t="shared" si="130"/>
        <v>62.806956544799995</v>
      </c>
      <c r="JG9" s="6">
        <v>24.706510000000002</v>
      </c>
      <c r="JH9" s="6">
        <f t="shared" si="131"/>
        <v>3343.0378681000002</v>
      </c>
      <c r="JI9" s="6">
        <v>25.671949999999999</v>
      </c>
      <c r="JJ9" s="6">
        <f t="shared" si="132"/>
        <v>3473.6715544999997</v>
      </c>
      <c r="JK9" s="6">
        <f t="shared" si="133"/>
        <v>-130.63368639999965</v>
      </c>
      <c r="JM9" s="5">
        <v>46060</v>
      </c>
      <c r="JN9" s="6">
        <v>1253045</v>
      </c>
      <c r="JO9" s="6">
        <f t="shared" si="134"/>
        <v>3420.6955649879997</v>
      </c>
      <c r="JP9" s="25">
        <v>1216690.3631443919</v>
      </c>
      <c r="JQ9" s="6">
        <f t="shared" si="135"/>
        <v>3321.4508091661996</v>
      </c>
      <c r="JR9" s="6">
        <f t="shared" si="136"/>
        <v>6742.1463741541993</v>
      </c>
      <c r="JS9" s="6"/>
      <c r="JT9" s="6">
        <f t="shared" si="137"/>
        <v>36354.636855608085</v>
      </c>
      <c r="JU9" s="6">
        <f t="shared" si="138"/>
        <v>99.244755821800396</v>
      </c>
      <c r="JV9" s="6">
        <v>24.32526</v>
      </c>
      <c r="JW9" s="6">
        <f t="shared" si="139"/>
        <v>3291.4509306</v>
      </c>
      <c r="JX9" s="6">
        <v>25.56643</v>
      </c>
      <c r="JY9" s="6">
        <f t="shared" si="140"/>
        <v>3459.3936432999999</v>
      </c>
      <c r="JZ9" s="6">
        <f t="shared" si="141"/>
        <v>-167.94271270000004</v>
      </c>
      <c r="KB9" s="5">
        <v>46060</v>
      </c>
      <c r="KC9" s="6">
        <v>1252255.729302384</v>
      </c>
      <c r="KD9" s="6">
        <f t="shared" si="142"/>
        <v>3418.5409298592454</v>
      </c>
      <c r="KE9" s="6">
        <v>1220540.4917249179</v>
      </c>
      <c r="KF9" s="6">
        <f t="shared" si="143"/>
        <v>3331.9612998190005</v>
      </c>
      <c r="KG9" s="6">
        <f t="shared" si="144"/>
        <v>6750.5022296782463</v>
      </c>
      <c r="KH9" s="6"/>
      <c r="KI9" s="6">
        <f t="shared" si="145"/>
        <v>31715.237577466061</v>
      </c>
      <c r="KJ9" s="6">
        <f t="shared" si="146"/>
        <v>86.579630040245092</v>
      </c>
      <c r="KK9" s="6">
        <v>4.8048730080000004</v>
      </c>
      <c r="KL9" s="6">
        <f t="shared" si="147"/>
        <v>3332.3716259683201</v>
      </c>
      <c r="KM9" s="6">
        <v>5.0281601739999999</v>
      </c>
      <c r="KN9" s="6">
        <f t="shared" si="148"/>
        <v>3487.2302070759597</v>
      </c>
      <c r="KO9" s="6">
        <f t="shared" si="149"/>
        <v>-154.85858110763968</v>
      </c>
      <c r="KQ9" s="5">
        <v>46060</v>
      </c>
      <c r="KR9" s="6">
        <v>1239753.082119396</v>
      </c>
      <c r="KS9" s="6">
        <f t="shared" si="150"/>
        <v>3384.4098732974644</v>
      </c>
      <c r="KT9" s="6">
        <v>1207495.5586430151</v>
      </c>
      <c r="KU9" s="6">
        <f t="shared" si="151"/>
        <v>3296.3498535111421</v>
      </c>
      <c r="KV9" s="6">
        <f t="shared" si="152"/>
        <v>6680.7597268086065</v>
      </c>
      <c r="KW9" s="6"/>
      <c r="KX9" s="6">
        <f t="shared" si="153"/>
        <v>32257.523476380855</v>
      </c>
      <c r="KY9" s="6">
        <f t="shared" si="154"/>
        <v>88.060019786322343</v>
      </c>
      <c r="KZ9" s="6">
        <v>4.7531481739999997</v>
      </c>
      <c r="LA9" s="6">
        <f t="shared" si="155"/>
        <v>3296.4983845959596</v>
      </c>
      <c r="LB9" s="6">
        <v>4.9804705769999993</v>
      </c>
      <c r="LC9" s="6">
        <f t="shared" si="156"/>
        <v>3454.1555639725793</v>
      </c>
      <c r="LD9" s="6">
        <f t="shared" si="157"/>
        <v>-157.65717937661972</v>
      </c>
      <c r="LF9" s="5">
        <v>46060</v>
      </c>
      <c r="LG9" s="6">
        <v>1216882.4317397459</v>
      </c>
      <c r="LH9" s="6">
        <f t="shared" si="158"/>
        <v>3321.9751384538954</v>
      </c>
      <c r="LI9" s="6">
        <v>1287813.000978831</v>
      </c>
      <c r="LJ9" s="6">
        <f t="shared" si="159"/>
        <v>3515.608953375317</v>
      </c>
      <c r="LK9" s="6">
        <f t="shared" si="160"/>
        <v>6837.5840918292124</v>
      </c>
      <c r="LL9" s="6"/>
      <c r="LM9" s="6">
        <f t="shared" si="161"/>
        <v>-70930.569239085075</v>
      </c>
      <c r="LN9" s="6">
        <f t="shared" si="162"/>
        <v>-193.63381492142148</v>
      </c>
      <c r="LO9" s="6">
        <v>60.623973820000003</v>
      </c>
      <c r="LP9" s="6">
        <f t="shared" si="163"/>
        <v>3451.3228295726003</v>
      </c>
      <c r="LQ9" s="6">
        <v>58.410573600000014</v>
      </c>
      <c r="LR9" s="6">
        <f t="shared" si="164"/>
        <v>3325.3139550480009</v>
      </c>
      <c r="LS9" s="6">
        <f t="shared" si="165"/>
        <v>126.00887452459942</v>
      </c>
      <c r="LU9" s="5">
        <v>46060</v>
      </c>
      <c r="LV9" s="6">
        <v>1169246.5576541319</v>
      </c>
      <c r="LW9" s="6">
        <f t="shared" si="166"/>
        <v>3191.9336609179836</v>
      </c>
      <c r="LX9" s="6">
        <v>1225589.5280135979</v>
      </c>
      <c r="LY9" s="6">
        <f t="shared" si="167"/>
        <v>3345.7446962973004</v>
      </c>
      <c r="LZ9" s="6">
        <f t="shared" si="168"/>
        <v>6537.6783572152835</v>
      </c>
      <c r="MA9" s="6"/>
      <c r="MB9" s="6">
        <f t="shared" si="169"/>
        <v>-56342.970359466039</v>
      </c>
      <c r="MC9" s="6">
        <f t="shared" si="170"/>
        <v>-153.81103537931662</v>
      </c>
      <c r="MD9" s="6">
        <v>57.647756310000013</v>
      </c>
      <c r="ME9" s="6">
        <f t="shared" si="171"/>
        <v>3281.8867667283007</v>
      </c>
      <c r="MF9" s="6">
        <v>56.159286620000003</v>
      </c>
      <c r="MG9" s="6">
        <f t="shared" si="172"/>
        <v>3197.1481872766003</v>
      </c>
      <c r="MH9" s="6">
        <f t="shared" si="173"/>
        <v>84.738579451700531</v>
      </c>
      <c r="MJ9" s="5">
        <v>46060</v>
      </c>
      <c r="MK9" s="6">
        <v>1287771</v>
      </c>
      <c r="ML9" s="6">
        <f t="shared" si="174"/>
        <v>3515.4942946344004</v>
      </c>
      <c r="MM9" s="6">
        <v>1264301</v>
      </c>
      <c r="MN9" s="6">
        <f t="shared" si="175"/>
        <v>3451.4233914264</v>
      </c>
      <c r="MO9" s="6">
        <f t="shared" si="176"/>
        <v>6966.9176860608004</v>
      </c>
      <c r="MP9" s="6"/>
      <c r="MQ9" s="6">
        <f t="shared" si="177"/>
        <v>23470</v>
      </c>
      <c r="MR9" s="6">
        <f t="shared" si="178"/>
        <v>64.070903208000004</v>
      </c>
      <c r="MS9" s="6">
        <v>10.47052</v>
      </c>
      <c r="MT9" s="6">
        <f t="shared" si="179"/>
        <v>3396.8460984000003</v>
      </c>
      <c r="MU9" s="6">
        <v>10.87276</v>
      </c>
      <c r="MV9" s="6">
        <f t="shared" si="180"/>
        <v>3527.3407992000002</v>
      </c>
      <c r="MW9" s="6">
        <f t="shared" si="181"/>
        <v>-130.49470079999969</v>
      </c>
      <c r="MY9" s="5">
        <v>46060</v>
      </c>
      <c r="MZ9" s="6">
        <v>1259019</v>
      </c>
      <c r="NA9" s="6">
        <f t="shared" si="182"/>
        <v>3437.0040258216</v>
      </c>
      <c r="NB9" s="6">
        <v>1236631</v>
      </c>
      <c r="NC9" s="6">
        <f t="shared" si="183"/>
        <v>3375.8868813384001</v>
      </c>
      <c r="ND9" s="6">
        <f t="shared" si="184"/>
        <v>6812.8909071600001</v>
      </c>
      <c r="NE9" s="6"/>
      <c r="NF9" s="6">
        <f t="shared" si="185"/>
        <v>22388</v>
      </c>
      <c r="NG9" s="6">
        <f t="shared" si="186"/>
        <v>61.117144483199993</v>
      </c>
      <c r="NH9" s="6">
        <v>10.239380000000001</v>
      </c>
      <c r="NI9" s="6">
        <f t="shared" si="187"/>
        <v>3321.8596596000002</v>
      </c>
      <c r="NJ9" s="6">
        <v>10.637320000000001</v>
      </c>
      <c r="NK9" s="6">
        <f t="shared" si="188"/>
        <v>3450.9593544000004</v>
      </c>
      <c r="NL9" s="6">
        <f t="shared" si="189"/>
        <v>-129.09969480000007</v>
      </c>
      <c r="NN9" s="5">
        <v>46060</v>
      </c>
      <c r="NO9" s="6">
        <v>1188087</v>
      </c>
      <c r="NP9" s="6">
        <f t="shared" si="190"/>
        <v>3243.3663050567998</v>
      </c>
      <c r="NQ9" s="6">
        <v>1265048</v>
      </c>
      <c r="NR9" s="6">
        <f t="shared" si="191"/>
        <v>3453.4626315071996</v>
      </c>
      <c r="NS9" s="6">
        <f t="shared" si="192"/>
        <v>6696.8289365639994</v>
      </c>
      <c r="NT9" s="6"/>
      <c r="NU9" s="6">
        <f t="shared" si="193"/>
        <v>-76961</v>
      </c>
      <c r="NV9" s="6">
        <f t="shared" si="194"/>
        <v>-210.09632645039997</v>
      </c>
      <c r="NW9" s="6">
        <v>507498.9</v>
      </c>
      <c r="NX9" s="6">
        <f t="shared" si="195"/>
        <v>3374.8676850000002</v>
      </c>
      <c r="NY9" s="6">
        <v>496122</v>
      </c>
      <c r="NZ9" s="6">
        <f t="shared" si="196"/>
        <v>3299.2112999999999</v>
      </c>
      <c r="OA9" s="6">
        <f t="shared" si="197"/>
        <v>75.656385000000157</v>
      </c>
      <c r="OC9" s="5">
        <v>46060</v>
      </c>
      <c r="OD9" s="6">
        <v>1201275</v>
      </c>
      <c r="OE9" s="6">
        <f t="shared" si="198"/>
        <v>3279.3683106599997</v>
      </c>
      <c r="OF9" s="6">
        <v>1266810</v>
      </c>
      <c r="OG9" s="6">
        <f t="shared" si="199"/>
        <v>3458.2727265839994</v>
      </c>
      <c r="OH9" s="6">
        <f t="shared" si="200"/>
        <v>6737.6410372439987</v>
      </c>
      <c r="OI9" s="6"/>
      <c r="OJ9" s="6">
        <f t="shared" si="201"/>
        <v>-65535</v>
      </c>
      <c r="OK9" s="6">
        <f t="shared" si="202"/>
        <v>-178.90441592400001</v>
      </c>
      <c r="OL9" s="6">
        <v>508118.6</v>
      </c>
      <c r="OM9" s="6">
        <f t="shared" si="203"/>
        <v>3378.9886899999997</v>
      </c>
      <c r="ON9" s="6">
        <v>501690.6</v>
      </c>
      <c r="OO9" s="6">
        <f t="shared" si="204"/>
        <v>3336.2424899999996</v>
      </c>
      <c r="OP9" s="6">
        <f t="shared" si="205"/>
        <v>42.746199999999995</v>
      </c>
    </row>
    <row r="10" spans="1:406" x14ac:dyDescent="0.2">
      <c r="A10" s="5">
        <v>46061</v>
      </c>
      <c r="B10" s="10">
        <v>167.04</v>
      </c>
      <c r="C10" s="6">
        <v>84.33</v>
      </c>
      <c r="D10" s="6">
        <v>185.4</v>
      </c>
      <c r="E10" s="6">
        <v>457.78</v>
      </c>
      <c r="F10" s="6">
        <v>412.1</v>
      </c>
      <c r="G10" s="2">
        <v>2.0899999999999998E-3</v>
      </c>
      <c r="H10" s="6">
        <v>3.3580000000000001</v>
      </c>
      <c r="I10" s="6">
        <v>613.54</v>
      </c>
      <c r="J10" s="6">
        <v>135.78</v>
      </c>
      <c r="K10" s="6">
        <v>692.5</v>
      </c>
      <c r="L10" s="6">
        <v>57.4</v>
      </c>
      <c r="M10" s="6">
        <v>325.17</v>
      </c>
      <c r="N10" s="6">
        <v>6.4799999999999996E-3</v>
      </c>
      <c r="O10" s="6">
        <v>87.241</v>
      </c>
      <c r="P10" s="7">
        <v>3.0589999999999997E-5</v>
      </c>
      <c r="R10" s="5">
        <v>46061</v>
      </c>
      <c r="S10" s="6">
        <v>1201178.8207088511</v>
      </c>
      <c r="T10" s="6">
        <f t="shared" si="0"/>
        <v>3205.5885494073277</v>
      </c>
      <c r="U10" s="6">
        <v>1268275.017844561</v>
      </c>
      <c r="V10" s="6">
        <f t="shared" si="1"/>
        <v>3384.6483176440688</v>
      </c>
      <c r="W10" s="6">
        <f t="shared" si="2"/>
        <v>6590.236867051397</v>
      </c>
      <c r="X10" s="6"/>
      <c r="Y10" s="6">
        <f t="shared" si="3"/>
        <v>-67096.197135709925</v>
      </c>
      <c r="Z10" s="6">
        <f t="shared" si="4"/>
        <v>-179.05976823674078</v>
      </c>
      <c r="AA10" s="6">
        <v>20.334182439999999</v>
      </c>
      <c r="AB10" s="6">
        <f t="shared" si="5"/>
        <v>3396.6218347775998</v>
      </c>
      <c r="AC10" s="6">
        <v>19.643174439999999</v>
      </c>
      <c r="AD10" s="6">
        <f t="shared" si="6"/>
        <v>3281.1958584575996</v>
      </c>
      <c r="AE10" s="6">
        <f t="shared" si="7"/>
        <v>115.42597632</v>
      </c>
      <c r="AG10" s="5">
        <v>46061</v>
      </c>
      <c r="AH10" s="6">
        <v>1142424.5428088179</v>
      </c>
      <c r="AI10" s="6">
        <f t="shared" si="8"/>
        <v>3048.7908793036413</v>
      </c>
      <c r="AJ10" s="6">
        <v>1223271.7519822509</v>
      </c>
      <c r="AK10" s="6">
        <f t="shared" si="9"/>
        <v>3264.5480034801694</v>
      </c>
      <c r="AL10" s="6">
        <f t="shared" si="10"/>
        <v>6313.3388827838107</v>
      </c>
      <c r="AM10" s="6"/>
      <c r="AN10" s="6">
        <f t="shared" si="11"/>
        <v>-80847.209173433017</v>
      </c>
      <c r="AO10" s="6">
        <f t="shared" si="12"/>
        <v>-215.75712417652878</v>
      </c>
      <c r="AP10" s="6">
        <v>19.601041630000001</v>
      </c>
      <c r="AQ10" s="6">
        <f t="shared" si="13"/>
        <v>3274.1579938752002</v>
      </c>
      <c r="AR10" s="6">
        <v>18.693353900000002</v>
      </c>
      <c r="AS10" s="6">
        <f t="shared" si="14"/>
        <v>3122.5378354560003</v>
      </c>
      <c r="AT10" s="6">
        <f t="shared" si="15"/>
        <v>151.62015841919987</v>
      </c>
      <c r="AV10" s="5">
        <v>46061</v>
      </c>
      <c r="AW10" s="6">
        <v>1228983.7204304759</v>
      </c>
      <c r="AX10" s="6">
        <f t="shared" si="16"/>
        <v>3279.791546187158</v>
      </c>
      <c r="AY10">
        <v>1291209.497666087</v>
      </c>
      <c r="AZ10" s="6">
        <f t="shared" si="17"/>
        <v>3445.8536141702862</v>
      </c>
      <c r="BA10" s="6">
        <f t="shared" si="18"/>
        <v>6725.6451603574442</v>
      </c>
      <c r="BB10" s="6"/>
      <c r="BC10" s="6">
        <f t="shared" si="206"/>
        <v>-62225.777235611109</v>
      </c>
      <c r="BD10" s="6">
        <f t="shared" si="19"/>
        <v>-166.06206798312749</v>
      </c>
      <c r="BE10" s="6">
        <v>40.942366750000012</v>
      </c>
      <c r="BF10" s="6">
        <f t="shared" si="20"/>
        <v>3452.669788027501</v>
      </c>
      <c r="BG10">
        <v>39.758554040000007</v>
      </c>
      <c r="BH10" s="6">
        <f t="shared" si="21"/>
        <v>3352.8388621932004</v>
      </c>
      <c r="BI10" s="6">
        <f t="shared" si="22"/>
        <v>99.83092583430043</v>
      </c>
      <c r="BK10" s="5">
        <v>46061</v>
      </c>
      <c r="BL10" s="6">
        <v>1220132.7253387889</v>
      </c>
      <c r="BM10" s="6">
        <f t="shared" si="23"/>
        <v>3256.170876202294</v>
      </c>
      <c r="BN10" s="6">
        <v>1270600.510169924</v>
      </c>
      <c r="BO10" s="6">
        <f t="shared" si="24"/>
        <v>3390.854364105593</v>
      </c>
      <c r="BP10" s="6">
        <f t="shared" si="25"/>
        <v>6647.0252403078866</v>
      </c>
      <c r="BQ10" s="6"/>
      <c r="BR10" s="6">
        <f t="shared" si="26"/>
        <v>-50467.784831135068</v>
      </c>
      <c r="BS10" s="6">
        <f t="shared" si="27"/>
        <v>-134.68348790329892</v>
      </c>
      <c r="BT10" s="6">
        <v>40.275983089999997</v>
      </c>
      <c r="BU10" s="6">
        <f t="shared" si="28"/>
        <v>3396.4736539796995</v>
      </c>
      <c r="BV10" s="6">
        <v>39.476830550000003</v>
      </c>
      <c r="BW10" s="6">
        <f t="shared" si="29"/>
        <v>3329.0811202815003</v>
      </c>
      <c r="BX10" s="6">
        <f t="shared" si="30"/>
        <v>67.392533698199529</v>
      </c>
      <c r="BZ10" s="5">
        <v>46061</v>
      </c>
      <c r="CA10" s="6">
        <v>1293947.5041287551</v>
      </c>
      <c r="CB10" s="6">
        <f t="shared" si="31"/>
        <v>3453.1605380134424</v>
      </c>
      <c r="CC10" s="6">
        <v>1255846.711972228</v>
      </c>
      <c r="CD10" s="6">
        <f t="shared" si="32"/>
        <v>3351.4808705445839</v>
      </c>
      <c r="CE10" s="6">
        <f t="shared" si="33"/>
        <v>6804.6414085580263</v>
      </c>
      <c r="CF10" s="6"/>
      <c r="CG10" s="6">
        <f t="shared" si="34"/>
        <v>38100.792156527052</v>
      </c>
      <c r="CH10" s="6">
        <f t="shared" si="35"/>
        <v>101.67966746885855</v>
      </c>
      <c r="CI10" s="6">
        <v>18.087908509999998</v>
      </c>
      <c r="CJ10" s="6">
        <f t="shared" si="36"/>
        <v>3353.498237754</v>
      </c>
      <c r="CK10" s="6">
        <v>19.01055736</v>
      </c>
      <c r="CL10" s="6">
        <f t="shared" si="37"/>
        <v>3524.5573345440002</v>
      </c>
      <c r="CM10" s="6">
        <f t="shared" si="38"/>
        <v>-171.0590967900003</v>
      </c>
      <c r="CO10" s="5">
        <v>46061</v>
      </c>
      <c r="CP10" s="6">
        <v>1248892.0474379279</v>
      </c>
      <c r="CQ10" s="6">
        <f t="shared" si="39"/>
        <v>3332.9209420711818</v>
      </c>
      <c r="CR10" s="6">
        <v>1221525.318642817</v>
      </c>
      <c r="CS10" s="6">
        <f t="shared" si="40"/>
        <v>3259.8872930025336</v>
      </c>
      <c r="CT10" s="6">
        <f t="shared" si="41"/>
        <v>6592.808235073715</v>
      </c>
      <c r="CU10" s="6"/>
      <c r="CV10" s="6">
        <f t="shared" si="42"/>
        <v>27366.728795110947</v>
      </c>
      <c r="CW10" s="6">
        <f t="shared" si="43"/>
        <v>73.033649068648629</v>
      </c>
      <c r="CX10" s="6">
        <v>17.589693830000002</v>
      </c>
      <c r="CY10" s="6">
        <f t="shared" si="44"/>
        <v>3261.1292360820003</v>
      </c>
      <c r="CZ10" s="6">
        <v>18.356369900000001</v>
      </c>
      <c r="DA10" s="6">
        <f t="shared" si="45"/>
        <v>3403.27097946</v>
      </c>
      <c r="DB10" s="6">
        <f t="shared" si="46"/>
        <v>-142.14174337799983</v>
      </c>
      <c r="DD10" s="5">
        <v>46061</v>
      </c>
      <c r="DE10" s="6">
        <v>1241985.4509929239</v>
      </c>
      <c r="DF10" s="6">
        <f t="shared" si="47"/>
        <v>3314.4892930129531</v>
      </c>
      <c r="DG10" s="6">
        <v>1307294.2161401091</v>
      </c>
      <c r="DH10" s="6">
        <f t="shared" si="48"/>
        <v>3488.7789375874422</v>
      </c>
      <c r="DI10" s="6">
        <f t="shared" si="49"/>
        <v>6803.2682306003953</v>
      </c>
      <c r="DJ10" s="6"/>
      <c r="DK10" s="6">
        <f t="shared" si="50"/>
        <v>-65308.765147185186</v>
      </c>
      <c r="DL10" s="6">
        <f t="shared" si="51"/>
        <v>-174.28964457448876</v>
      </c>
      <c r="DM10" s="6">
        <v>7.6220262900000009</v>
      </c>
      <c r="DN10" s="6">
        <f t="shared" si="52"/>
        <v>3489.2111950362</v>
      </c>
      <c r="DO10" s="6">
        <v>7.3893673700000004</v>
      </c>
      <c r="DP10" s="6">
        <f t="shared" si="53"/>
        <v>3382.7045946386002</v>
      </c>
      <c r="DQ10" s="6">
        <f t="shared" si="54"/>
        <v>106.5066003976002</v>
      </c>
      <c r="DS10" s="5">
        <v>46061</v>
      </c>
      <c r="DT10" s="6">
        <v>1163387.279275988</v>
      </c>
      <c r="DU10" s="6">
        <f t="shared" si="55"/>
        <v>3104.7341800219701</v>
      </c>
      <c r="DV10" s="6">
        <v>1195423.883837874</v>
      </c>
      <c r="DW10" s="6">
        <f t="shared" si="56"/>
        <v>3190.2303367764398</v>
      </c>
      <c r="DX10" s="6">
        <f t="shared" si="57"/>
        <v>6294.9645167984099</v>
      </c>
      <c r="DY10" s="6"/>
      <c r="DZ10" s="6">
        <f t="shared" si="58"/>
        <v>-32036.604561886052</v>
      </c>
      <c r="EA10" s="6">
        <f t="shared" si="59"/>
        <v>-85.496156754469283</v>
      </c>
      <c r="EB10" s="6">
        <v>6.9682954099999996</v>
      </c>
      <c r="EC10" s="6">
        <f t="shared" si="60"/>
        <v>3189.9462727897994</v>
      </c>
      <c r="ED10" s="6">
        <v>6.9224535499999993</v>
      </c>
      <c r="EE10" s="6">
        <f t="shared" si="61"/>
        <v>3168.9607861189993</v>
      </c>
      <c r="EF10" s="6">
        <f t="shared" si="62"/>
        <v>20.985486670800157</v>
      </c>
      <c r="EH10" s="5">
        <v>46061</v>
      </c>
      <c r="EI10" s="6">
        <v>3688037</v>
      </c>
      <c r="EJ10" s="6">
        <f t="shared" si="63"/>
        <v>9842.2724187010281</v>
      </c>
      <c r="EK10" s="6">
        <v>3635599</v>
      </c>
      <c r="EL10" s="6">
        <f t="shared" si="64"/>
        <v>9702.3310132618099</v>
      </c>
      <c r="EM10" s="6">
        <f t="shared" si="65"/>
        <v>19544.603431962838</v>
      </c>
      <c r="EN10" s="6"/>
      <c r="EO10" s="6">
        <f t="shared" si="66"/>
        <v>52438</v>
      </c>
      <c r="EP10" s="6">
        <f t="shared" si="67"/>
        <v>139.94140543921998</v>
      </c>
      <c r="EQ10" s="6">
        <v>23.808009999999999</v>
      </c>
      <c r="ER10" s="6">
        <f t="shared" si="68"/>
        <v>9811.2809209999996</v>
      </c>
      <c r="ES10" s="6">
        <v>24.259440000000001</v>
      </c>
      <c r="ET10" s="6">
        <f t="shared" si="69"/>
        <v>9997.3152240000018</v>
      </c>
      <c r="EU10" s="6">
        <f t="shared" si="70"/>
        <v>-186.03430300000085</v>
      </c>
      <c r="EW10" s="5">
        <v>46061</v>
      </c>
      <c r="EX10" s="6">
        <v>3667444</v>
      </c>
      <c r="EY10" s="6">
        <f t="shared" si="71"/>
        <v>9787.3158345023585</v>
      </c>
      <c r="EZ10" s="6">
        <v>3619435</v>
      </c>
      <c r="FA10" s="6">
        <f t="shared" si="72"/>
        <v>9659.1941110626485</v>
      </c>
      <c r="FB10" s="6">
        <f t="shared" si="73"/>
        <v>19446.509945565005</v>
      </c>
      <c r="FC10" s="6"/>
      <c r="FD10" s="6">
        <f t="shared" si="74"/>
        <v>48009</v>
      </c>
      <c r="FE10" s="6">
        <f t="shared" si="75"/>
        <v>128.12172343970997</v>
      </c>
      <c r="FF10" s="6">
        <v>23.673210000000001</v>
      </c>
      <c r="FG10" s="6">
        <f t="shared" si="76"/>
        <v>9755.7298410000003</v>
      </c>
      <c r="FH10" s="6">
        <v>24.158270000000002</v>
      </c>
      <c r="FI10" s="6">
        <f t="shared" si="77"/>
        <v>9955.6230670000004</v>
      </c>
      <c r="FJ10" s="6">
        <f t="shared" si="78"/>
        <v>-199.89322600000031</v>
      </c>
      <c r="FL10" s="5">
        <v>46061</v>
      </c>
      <c r="FM10" s="6">
        <v>963803.3</v>
      </c>
      <c r="FN10" s="6">
        <f t="shared" si="79"/>
        <v>2572.103977439227</v>
      </c>
      <c r="FO10" s="6">
        <v>940463.7</v>
      </c>
      <c r="FP10" s="6">
        <f t="shared" si="80"/>
        <v>2509.8175358055028</v>
      </c>
      <c r="FQ10" s="6">
        <f t="shared" si="81"/>
        <v>5081.9215132447298</v>
      </c>
      <c r="FR10" s="6"/>
      <c r="FS10" s="6">
        <f t="shared" si="82"/>
        <v>23339.600000000093</v>
      </c>
      <c r="FT10" s="6">
        <f t="shared" si="83"/>
        <v>62.286441633724245</v>
      </c>
      <c r="FU10" s="6">
        <v>1179528</v>
      </c>
      <c r="FV10" s="6">
        <f t="shared" si="84"/>
        <v>2465.2135199999998</v>
      </c>
      <c r="FW10" s="6">
        <v>1257531</v>
      </c>
      <c r="FX10" s="6">
        <f t="shared" si="85"/>
        <v>2628.2397899999996</v>
      </c>
      <c r="FY10" s="6">
        <f t="shared" si="86"/>
        <v>-163.02626999999998</v>
      </c>
      <c r="GA10" s="5">
        <v>46061</v>
      </c>
      <c r="GB10" s="6">
        <v>931064.1</v>
      </c>
      <c r="GC10" s="6">
        <f t="shared" si="87"/>
        <v>2484.7328027003787</v>
      </c>
      <c r="GD10" s="6">
        <v>887581.5</v>
      </c>
      <c r="GE10" s="6">
        <f t="shared" si="88"/>
        <v>2368.6906928534845</v>
      </c>
      <c r="GF10" s="6">
        <f t="shared" si="89"/>
        <v>4853.4234955538632</v>
      </c>
      <c r="GG10" s="6"/>
      <c r="GH10" s="6">
        <f t="shared" si="90"/>
        <v>43482.599999999977</v>
      </c>
      <c r="GI10" s="6">
        <f t="shared" si="91"/>
        <v>116.04210984689392</v>
      </c>
      <c r="GJ10" s="6">
        <v>1113273</v>
      </c>
      <c r="GK10" s="6">
        <f t="shared" si="92"/>
        <v>2326.7405699999999</v>
      </c>
      <c r="GL10" s="6">
        <v>1215375</v>
      </c>
      <c r="GM10" s="6">
        <f t="shared" si="93"/>
        <v>2540.13375</v>
      </c>
      <c r="GN10" s="6">
        <f t="shared" si="94"/>
        <v>-213.39317999999997</v>
      </c>
      <c r="GP10" s="5">
        <v>46061</v>
      </c>
      <c r="GQ10" s="6">
        <v>931692.2</v>
      </c>
      <c r="GR10" s="6">
        <f t="shared" si="95"/>
        <v>2486.4090145459177</v>
      </c>
      <c r="GS10" s="6">
        <v>884297.7</v>
      </c>
      <c r="GT10" s="6">
        <f t="shared" si="96"/>
        <v>2359.9272086019628</v>
      </c>
      <c r="GU10" s="6">
        <f t="shared" si="97"/>
        <v>4846.3362231478804</v>
      </c>
      <c r="GV10" s="6"/>
      <c r="GW10" s="6">
        <f t="shared" si="98"/>
        <v>47394.5</v>
      </c>
      <c r="GX10" s="6">
        <f t="shared" si="99"/>
        <v>126.48180594395498</v>
      </c>
      <c r="GY10" s="6">
        <v>692.04520000000002</v>
      </c>
      <c r="GZ10" s="6">
        <f t="shared" si="100"/>
        <v>2323.8877815999999</v>
      </c>
      <c r="HA10" s="6">
        <v>758.86980000000005</v>
      </c>
      <c r="HB10" s="6">
        <f t="shared" si="101"/>
        <v>2548.2847884000003</v>
      </c>
      <c r="HC10" s="6">
        <f t="shared" si="207"/>
        <v>-224.39700680000013</v>
      </c>
      <c r="HE10" s="5">
        <v>46061</v>
      </c>
      <c r="HF10" s="6">
        <v>913310.1</v>
      </c>
      <c r="HG10" s="6">
        <f t="shared" si="102"/>
        <v>2437.3526640191185</v>
      </c>
      <c r="HH10" s="6">
        <v>832569.4</v>
      </c>
      <c r="HI10" s="6">
        <f t="shared" si="103"/>
        <v>2221.8797811069858</v>
      </c>
      <c r="HJ10" s="6">
        <f t="shared" si="104"/>
        <v>4659.2324451261047</v>
      </c>
      <c r="HK10" s="6"/>
      <c r="HL10" s="6">
        <f t="shared" si="105"/>
        <v>80740.699999999953</v>
      </c>
      <c r="HM10" s="6">
        <f t="shared" si="106"/>
        <v>215.47288291213286</v>
      </c>
      <c r="HN10" s="6">
        <v>650.65809999999999</v>
      </c>
      <c r="HO10" s="6">
        <f t="shared" si="107"/>
        <v>2184.9098997999999</v>
      </c>
      <c r="HP10" s="6">
        <v>744.02099999999996</v>
      </c>
      <c r="HQ10" s="6">
        <f t="shared" si="108"/>
        <v>2498.4225179999999</v>
      </c>
      <c r="HR10" s="6">
        <f t="shared" si="109"/>
        <v>-313.51261819999991</v>
      </c>
      <c r="HT10" s="5">
        <v>46061</v>
      </c>
      <c r="HU10" s="6">
        <v>874846</v>
      </c>
      <c r="HV10" s="6">
        <f t="shared" si="110"/>
        <v>2334.7034361127398</v>
      </c>
      <c r="HW10" s="6">
        <v>796254.1</v>
      </c>
      <c r="HX10" s="6">
        <f t="shared" si="111"/>
        <v>2124.9650604664789</v>
      </c>
      <c r="HY10" s="6">
        <f t="shared" si="112"/>
        <v>4459.6684965792192</v>
      </c>
      <c r="HZ10" s="6"/>
      <c r="IA10" s="6">
        <f t="shared" si="113"/>
        <v>78591.900000000023</v>
      </c>
      <c r="IB10" s="6">
        <f t="shared" si="114"/>
        <v>209.73837564626103</v>
      </c>
      <c r="IC10" s="6">
        <v>3.4414319999999998</v>
      </c>
      <c r="ID10" s="6">
        <f t="shared" si="115"/>
        <v>2111.4561892799998</v>
      </c>
      <c r="IE10" s="6">
        <v>3.936264</v>
      </c>
      <c r="IF10" s="6">
        <f t="shared" si="116"/>
        <v>2415.0554145599999</v>
      </c>
      <c r="IG10" s="6">
        <f t="shared" si="117"/>
        <v>-303.5992252800001</v>
      </c>
      <c r="II10" s="5">
        <v>46061</v>
      </c>
      <c r="IJ10" s="6">
        <v>887806.6</v>
      </c>
      <c r="IK10" s="6">
        <f t="shared" si="118"/>
        <v>2369.2914177164539</v>
      </c>
      <c r="IL10" s="6">
        <v>839261.1</v>
      </c>
      <c r="IM10" s="6">
        <f t="shared" si="119"/>
        <v>2239.7379355518087</v>
      </c>
      <c r="IN10" s="6">
        <f t="shared" si="120"/>
        <v>4609.0293532682626</v>
      </c>
      <c r="IO10" s="6"/>
      <c r="IP10" s="6">
        <f t="shared" si="121"/>
        <v>48545.5</v>
      </c>
      <c r="IQ10" s="6">
        <f t="shared" si="122"/>
        <v>129.55348216464498</v>
      </c>
      <c r="IR10" s="6">
        <v>3.6266120000000002</v>
      </c>
      <c r="IS10" s="6">
        <f t="shared" si="123"/>
        <v>2225.0715264800001</v>
      </c>
      <c r="IT10" s="6">
        <v>3.9934919999999998</v>
      </c>
      <c r="IU10" s="6">
        <f t="shared" si="124"/>
        <v>2450.1670816799997</v>
      </c>
      <c r="IV10" s="6">
        <f t="shared" si="125"/>
        <v>-225.09555519999978</v>
      </c>
      <c r="IX10" s="5">
        <v>46061</v>
      </c>
      <c r="IY10" s="6">
        <v>1249288</v>
      </c>
      <c r="IZ10" s="6">
        <f t="shared" si="126"/>
        <v>3333.9776215407196</v>
      </c>
      <c r="JA10" s="6">
        <v>1286931</v>
      </c>
      <c r="JB10" s="6">
        <f t="shared" si="127"/>
        <v>3434.4355780788896</v>
      </c>
      <c r="JC10" s="6">
        <f t="shared" si="128"/>
        <v>6768.4131996196093</v>
      </c>
      <c r="JD10" s="6"/>
      <c r="JE10" s="6">
        <f t="shared" si="129"/>
        <v>-37643</v>
      </c>
      <c r="JF10" s="6">
        <f t="shared" si="130"/>
        <v>-100.45795653816998</v>
      </c>
      <c r="JG10" s="6">
        <v>25.498419999999999</v>
      </c>
      <c r="JH10" s="6">
        <f t="shared" si="131"/>
        <v>3462.1754676</v>
      </c>
      <c r="JI10" s="6">
        <v>25.231169999999999</v>
      </c>
      <c r="JJ10" s="6">
        <f t="shared" si="132"/>
        <v>3425.8882626</v>
      </c>
      <c r="JK10" s="6">
        <f t="shared" si="133"/>
        <v>36.287205000000093</v>
      </c>
      <c r="JM10" s="5">
        <v>46061</v>
      </c>
      <c r="JN10" s="6">
        <v>1215570</v>
      </c>
      <c r="JO10" s="6">
        <f t="shared" si="134"/>
        <v>3243.9943210982997</v>
      </c>
      <c r="JP10" s="6">
        <v>1278478</v>
      </c>
      <c r="JQ10" s="6">
        <f t="shared" si="135"/>
        <v>3411.8770384668196</v>
      </c>
      <c r="JR10" s="6">
        <f t="shared" si="136"/>
        <v>6655.8713595651188</v>
      </c>
      <c r="JS10" s="6"/>
      <c r="JT10" s="6">
        <f t="shared" si="137"/>
        <v>-62908</v>
      </c>
      <c r="JU10" s="6">
        <f t="shared" si="138"/>
        <v>-167.88271736851999</v>
      </c>
      <c r="JV10" s="6">
        <v>25.322230000000001</v>
      </c>
      <c r="JW10" s="6">
        <f t="shared" si="139"/>
        <v>3438.2523894000001</v>
      </c>
      <c r="JX10" s="6">
        <v>24.558859999999999</v>
      </c>
      <c r="JY10" s="6">
        <f t="shared" si="140"/>
        <v>3334.6020107999998</v>
      </c>
      <c r="JZ10" s="6">
        <f t="shared" si="141"/>
        <v>103.65037860000025</v>
      </c>
      <c r="KB10" s="5">
        <v>46061</v>
      </c>
      <c r="KC10" s="6">
        <v>1205222.2006961741</v>
      </c>
      <c r="KD10" s="6">
        <f t="shared" si="142"/>
        <v>3216.3791264344991</v>
      </c>
      <c r="KE10" s="6">
        <v>1275452.2446260781</v>
      </c>
      <c r="KF10" s="6">
        <f t="shared" si="143"/>
        <v>3403.8021984740294</v>
      </c>
      <c r="KG10" s="6">
        <f t="shared" si="144"/>
        <v>6620.181324908528</v>
      </c>
      <c r="KH10" s="6"/>
      <c r="KI10" s="6">
        <f t="shared" si="145"/>
        <v>-70230.043929904001</v>
      </c>
      <c r="KJ10" s="6">
        <f t="shared" si="146"/>
        <v>-187.42307203953101</v>
      </c>
      <c r="KK10" s="6">
        <v>5.0106009629999999</v>
      </c>
      <c r="KL10" s="6">
        <f t="shared" si="147"/>
        <v>3469.8411668774997</v>
      </c>
      <c r="KM10" s="6">
        <v>4.8298407650000001</v>
      </c>
      <c r="KN10" s="6">
        <f t="shared" si="148"/>
        <v>3344.6647297625</v>
      </c>
      <c r="KO10" s="6">
        <f t="shared" si="149"/>
        <v>125.17643711499983</v>
      </c>
      <c r="KQ10" s="5">
        <v>46061</v>
      </c>
      <c r="KR10" s="6">
        <v>1154413.5673823841</v>
      </c>
      <c r="KS10" s="6">
        <f t="shared" si="150"/>
        <v>3080.7860154390805</v>
      </c>
      <c r="KT10" s="6">
        <v>1214201.122083046</v>
      </c>
      <c r="KU10" s="6">
        <f t="shared" si="151"/>
        <v>3240.3411936034818</v>
      </c>
      <c r="KV10" s="6">
        <f t="shared" si="152"/>
        <v>6321.1272090425628</v>
      </c>
      <c r="KW10" s="6"/>
      <c r="KX10" s="6">
        <f t="shared" si="153"/>
        <v>-59787.554700661916</v>
      </c>
      <c r="KY10" s="6">
        <f t="shared" si="154"/>
        <v>-159.55517816440124</v>
      </c>
      <c r="KZ10" s="6">
        <v>4.7678459399999999</v>
      </c>
      <c r="LA10" s="6">
        <f t="shared" si="155"/>
        <v>3301.73331345</v>
      </c>
      <c r="LB10" s="6">
        <v>4.6274160450000004</v>
      </c>
      <c r="LC10" s="6">
        <f t="shared" si="156"/>
        <v>3204.4856111625004</v>
      </c>
      <c r="LD10" s="6">
        <f t="shared" si="157"/>
        <v>97.247702287499706</v>
      </c>
      <c r="LF10" s="5">
        <v>46061</v>
      </c>
      <c r="LG10" s="6">
        <v>1258365.5072371999</v>
      </c>
      <c r="LH10" s="6">
        <f t="shared" si="158"/>
        <v>3358.2027849843757</v>
      </c>
      <c r="LI10" s="6">
        <v>1225677.4428419301</v>
      </c>
      <c r="LJ10" s="6">
        <f t="shared" si="159"/>
        <v>3270.9680759458583</v>
      </c>
      <c r="LK10" s="6">
        <f t="shared" si="160"/>
        <v>6629.1708609302341</v>
      </c>
      <c r="LL10" s="6"/>
      <c r="LM10" s="6">
        <f t="shared" si="161"/>
        <v>32688.064395269845</v>
      </c>
      <c r="LN10" s="6">
        <f t="shared" si="162"/>
        <v>87.23470903851765</v>
      </c>
      <c r="LO10" s="6">
        <v>57.211863489999999</v>
      </c>
      <c r="LP10" s="6">
        <f t="shared" si="163"/>
        <v>3283.9609643260001</v>
      </c>
      <c r="LQ10" s="6">
        <v>59.936462949999992</v>
      </c>
      <c r="LR10" s="6">
        <f t="shared" si="164"/>
        <v>3440.3529733299993</v>
      </c>
      <c r="LS10" s="6">
        <f t="shared" si="165"/>
        <v>-156.39200900399962</v>
      </c>
      <c r="LU10" s="5">
        <v>46061</v>
      </c>
      <c r="LV10" s="6">
        <v>1223868.4559566921</v>
      </c>
      <c r="LW10" s="6">
        <f t="shared" si="166"/>
        <v>3266.1404286835423</v>
      </c>
      <c r="LX10" s="6">
        <v>1179232.8194383299</v>
      </c>
      <c r="LY10" s="6">
        <f t="shared" si="167"/>
        <v>3147.0212077549454</v>
      </c>
      <c r="LZ10" s="6">
        <f t="shared" si="168"/>
        <v>6413.1616364384881</v>
      </c>
      <c r="MA10" s="6"/>
      <c r="MB10" s="6">
        <f t="shared" si="169"/>
        <v>44635.636518362211</v>
      </c>
      <c r="MC10" s="6">
        <f t="shared" si="170"/>
        <v>119.11922092859719</v>
      </c>
      <c r="MD10" s="6">
        <v>55.041021120000003</v>
      </c>
      <c r="ME10" s="6">
        <f t="shared" si="171"/>
        <v>3159.3546122880002</v>
      </c>
      <c r="MF10" s="6">
        <v>58.322584489999997</v>
      </c>
      <c r="MG10" s="6">
        <f t="shared" si="172"/>
        <v>3347.7163497259999</v>
      </c>
      <c r="MH10" s="6">
        <f t="shared" si="173"/>
        <v>-188.36173743799964</v>
      </c>
      <c r="MJ10" s="5">
        <v>46061</v>
      </c>
      <c r="MK10" s="6">
        <v>1236997</v>
      </c>
      <c r="ML10" s="6">
        <f t="shared" si="174"/>
        <v>3301.1766029234295</v>
      </c>
      <c r="MM10" s="6">
        <v>1300514</v>
      </c>
      <c r="MN10" s="6">
        <f t="shared" si="175"/>
        <v>3470.6845599256599</v>
      </c>
      <c r="MO10" s="6">
        <f t="shared" si="176"/>
        <v>6771.8611628490889</v>
      </c>
      <c r="MP10" s="6"/>
      <c r="MQ10" s="6">
        <f t="shared" si="177"/>
        <v>-63517</v>
      </c>
      <c r="MR10" s="6">
        <f t="shared" si="178"/>
        <v>-169.50795700222997</v>
      </c>
      <c r="MS10" s="6">
        <v>10.72134</v>
      </c>
      <c r="MT10" s="6">
        <f t="shared" si="179"/>
        <v>3486.2581278000002</v>
      </c>
      <c r="MU10" s="18">
        <v>10.403930000000001</v>
      </c>
      <c r="MV10" s="6">
        <f t="shared" si="180"/>
        <v>3383.0459181000006</v>
      </c>
      <c r="MW10" s="6">
        <f t="shared" si="181"/>
        <v>103.21220969999963</v>
      </c>
      <c r="MY10" s="5">
        <v>46061</v>
      </c>
      <c r="MZ10" s="6">
        <v>1178777</v>
      </c>
      <c r="NA10" s="6">
        <f t="shared" si="182"/>
        <v>3145.8047614216293</v>
      </c>
      <c r="NB10" s="6">
        <v>1244633</v>
      </c>
      <c r="NC10" s="6">
        <f t="shared" si="183"/>
        <v>3321.5548128462697</v>
      </c>
      <c r="ND10" s="6">
        <f t="shared" si="184"/>
        <v>6467.359574267899</v>
      </c>
      <c r="NE10" s="6"/>
      <c r="NF10" s="6">
        <f t="shared" si="185"/>
        <v>-65856</v>
      </c>
      <c r="NG10" s="6">
        <f t="shared" si="186"/>
        <v>-175.75005142463996</v>
      </c>
      <c r="NH10" s="6">
        <v>10.25709</v>
      </c>
      <c r="NI10" s="6">
        <f t="shared" si="187"/>
        <v>3335.2979553</v>
      </c>
      <c r="NJ10" s="6">
        <v>9.9172709999999995</v>
      </c>
      <c r="NK10" s="6">
        <f t="shared" si="188"/>
        <v>3224.7990110699998</v>
      </c>
      <c r="NL10" s="6">
        <f t="shared" si="189"/>
        <v>110.49894423000011</v>
      </c>
      <c r="NN10" s="5">
        <v>46061</v>
      </c>
      <c r="NO10" s="6">
        <v>1228489</v>
      </c>
      <c r="NP10" s="6">
        <f t="shared" si="190"/>
        <v>3278.4712846909097</v>
      </c>
      <c r="NQ10" s="6">
        <v>1182774</v>
      </c>
      <c r="NR10" s="6">
        <f t="shared" si="191"/>
        <v>3156.4715640750596</v>
      </c>
      <c r="NS10" s="6">
        <f t="shared" si="192"/>
        <v>6434.9428487659698</v>
      </c>
      <c r="NT10" s="6"/>
      <c r="NU10" s="6">
        <f t="shared" si="193"/>
        <v>45715</v>
      </c>
      <c r="NV10" s="6">
        <f t="shared" si="194"/>
        <v>121.99972061584998</v>
      </c>
      <c r="NW10" s="6">
        <v>475430.2</v>
      </c>
      <c r="NX10" s="6">
        <f t="shared" si="195"/>
        <v>3080.7876959999999</v>
      </c>
      <c r="NY10" s="6">
        <v>514116.7</v>
      </c>
      <c r="NZ10" s="6">
        <f t="shared" si="196"/>
        <v>3331.476216</v>
      </c>
      <c r="OA10" s="6">
        <f t="shared" si="197"/>
        <v>-250.68851999999998</v>
      </c>
      <c r="OC10" s="5">
        <v>46061</v>
      </c>
      <c r="OD10" s="6">
        <v>1087513</v>
      </c>
      <c r="OE10" s="6">
        <f t="shared" si="198"/>
        <v>2902.2483247534697</v>
      </c>
      <c r="OF10" s="6">
        <v>1054161</v>
      </c>
      <c r="OG10" s="6">
        <f t="shared" si="199"/>
        <v>2813.2417693125894</v>
      </c>
      <c r="OH10" s="6">
        <f t="shared" si="200"/>
        <v>5715.4900940660591</v>
      </c>
      <c r="OI10" s="6"/>
      <c r="OJ10" s="6">
        <f t="shared" si="201"/>
        <v>33352</v>
      </c>
      <c r="OK10" s="6">
        <f t="shared" si="202"/>
        <v>89.006555440879993</v>
      </c>
      <c r="OL10" s="6">
        <v>423698.9</v>
      </c>
      <c r="OM10" s="6">
        <f t="shared" si="203"/>
        <v>2745.5688719999998</v>
      </c>
      <c r="ON10" s="6">
        <v>455186.6</v>
      </c>
      <c r="OO10" s="6">
        <f t="shared" si="204"/>
        <v>2949.6091679999995</v>
      </c>
      <c r="OP10" s="6">
        <f t="shared" si="205"/>
        <v>-204.0402959999997</v>
      </c>
    </row>
    <row r="11" spans="1:406" x14ac:dyDescent="0.2">
      <c r="A11" s="5">
        <v>46062</v>
      </c>
      <c r="B11" s="10">
        <v>167.26</v>
      </c>
      <c r="C11" s="6">
        <v>86.53</v>
      </c>
      <c r="D11" s="6">
        <v>190.15</v>
      </c>
      <c r="E11" s="6">
        <v>466.61</v>
      </c>
      <c r="F11" s="6">
        <v>418.28</v>
      </c>
      <c r="G11" s="2">
        <v>2E-3</v>
      </c>
      <c r="H11" s="6">
        <v>3.3610000000000002</v>
      </c>
      <c r="I11" s="6">
        <v>615.47</v>
      </c>
      <c r="J11" s="6">
        <v>137.19</v>
      </c>
      <c r="K11" s="6">
        <v>696.53</v>
      </c>
      <c r="L11" s="6">
        <v>59.74</v>
      </c>
      <c r="M11" s="6">
        <v>324.89</v>
      </c>
      <c r="N11" s="6">
        <v>6.3699999999999998E-3</v>
      </c>
      <c r="O11" s="6">
        <v>86.742999999999995</v>
      </c>
      <c r="P11" s="7">
        <v>3.1199999999999999E-5</v>
      </c>
      <c r="R11" s="5">
        <v>46062</v>
      </c>
      <c r="S11" s="6">
        <v>1025323.0344126089</v>
      </c>
      <c r="T11" s="6">
        <f t="shared" si="0"/>
        <v>2774.9153943904516</v>
      </c>
      <c r="U11" s="6">
        <v>999719.70682399999</v>
      </c>
      <c r="V11" s="6">
        <f t="shared" si="1"/>
        <v>2705.6230197058676</v>
      </c>
      <c r="W11" s="6">
        <f t="shared" si="2"/>
        <v>5480.5384140963197</v>
      </c>
      <c r="X11" s="6"/>
      <c r="Y11" s="6">
        <f t="shared" si="3"/>
        <v>25603.327588608954</v>
      </c>
      <c r="Z11" s="6">
        <f t="shared" si="4"/>
        <v>69.292374684583635</v>
      </c>
      <c r="AA11" s="6">
        <v>16.02192531</v>
      </c>
      <c r="AB11" s="6">
        <f>AA11*B11</f>
        <v>2679.8272273506</v>
      </c>
      <c r="AC11" s="6">
        <v>16.76373027</v>
      </c>
      <c r="AD11" s="6">
        <f t="shared" si="6"/>
        <v>2803.9015249601998</v>
      </c>
      <c r="AE11" s="6">
        <f t="shared" si="7"/>
        <v>-124.07429760959992</v>
      </c>
      <c r="AG11" s="5">
        <v>46062</v>
      </c>
      <c r="AH11" s="6">
        <v>1001946.2067585899</v>
      </c>
      <c r="AI11" s="6">
        <f t="shared" si="8"/>
        <v>2711.6487781612432</v>
      </c>
      <c r="AJ11" s="6">
        <v>956639.46713370294</v>
      </c>
      <c r="AK11" s="6">
        <f t="shared" si="9"/>
        <v>2589.0314516844583</v>
      </c>
      <c r="AL11" s="6">
        <f t="shared" si="10"/>
        <v>5300.6802298457014</v>
      </c>
      <c r="AM11" s="6"/>
      <c r="AN11" s="6">
        <f t="shared" si="11"/>
        <v>45306.739624887006</v>
      </c>
      <c r="AO11" s="6">
        <f t="shared" si="12"/>
        <v>122.61732647678508</v>
      </c>
      <c r="AP11" s="6">
        <v>15.328564890000001</v>
      </c>
      <c r="AQ11" s="6">
        <f t="shared" si="13"/>
        <v>2563.8557635013999</v>
      </c>
      <c r="AR11" s="6">
        <v>16.396157580000001</v>
      </c>
      <c r="AS11" s="6">
        <f t="shared" si="14"/>
        <v>2742.4213168308002</v>
      </c>
      <c r="AT11" s="6">
        <f t="shared" si="15"/>
        <v>-178.56555332939993</v>
      </c>
      <c r="AV11" s="5">
        <v>46062</v>
      </c>
      <c r="AW11" s="6">
        <v>1008722.778930682</v>
      </c>
      <c r="AX11" s="6">
        <f t="shared" si="16"/>
        <v>2729.9887683988654</v>
      </c>
      <c r="AY11" s="6">
        <v>958995.059641139</v>
      </c>
      <c r="AZ11" s="6">
        <f t="shared" si="17"/>
        <v>2595.4065839036807</v>
      </c>
      <c r="BA11" s="6">
        <f t="shared" si="18"/>
        <v>5325.3953523025466</v>
      </c>
      <c r="BB11" s="6"/>
      <c r="BC11" s="6">
        <f t="shared" si="206"/>
        <v>49727.719289542991</v>
      </c>
      <c r="BD11" s="6">
        <f t="shared" si="19"/>
        <v>134.58218449518421</v>
      </c>
      <c r="BE11" s="6">
        <v>29.81159701</v>
      </c>
      <c r="BF11" s="6">
        <f t="shared" si="20"/>
        <v>2579.5974892753002</v>
      </c>
      <c r="BG11" s="6">
        <v>31.972983729999999</v>
      </c>
      <c r="BH11" s="6">
        <f t="shared" si="21"/>
        <v>2766.6222821568999</v>
      </c>
      <c r="BI11" s="6">
        <f t="shared" si="22"/>
        <v>-187.02479288159995</v>
      </c>
      <c r="BK11" s="5">
        <v>46062</v>
      </c>
      <c r="BL11" s="6">
        <v>949406.39978588501</v>
      </c>
      <c r="BM11" s="6">
        <f t="shared" si="23"/>
        <v>2569.4560113027628</v>
      </c>
      <c r="BN11" s="6">
        <v>924662.11494585499</v>
      </c>
      <c r="BO11" s="6">
        <f t="shared" si="24"/>
        <v>2502.4885341065469</v>
      </c>
      <c r="BP11" s="6">
        <f t="shared" si="25"/>
        <v>5071.9445454093093</v>
      </c>
      <c r="BQ11" s="6"/>
      <c r="BR11" s="6">
        <f t="shared" si="26"/>
        <v>24744.284840030014</v>
      </c>
      <c r="BS11" s="6">
        <f t="shared" si="27"/>
        <v>66.967477196216166</v>
      </c>
      <c r="BT11" s="6">
        <v>28.738142629999999</v>
      </c>
      <c r="BU11" s="6">
        <f t="shared" si="28"/>
        <v>2486.7114817738998</v>
      </c>
      <c r="BV11" s="6">
        <v>30.095889</v>
      </c>
      <c r="BW11" s="6">
        <f t="shared" si="29"/>
        <v>2604.19727517</v>
      </c>
      <c r="BX11" s="6">
        <f t="shared" si="30"/>
        <v>-117.48579339610009</v>
      </c>
      <c r="BZ11" s="5">
        <v>46062</v>
      </c>
      <c r="CA11" s="6">
        <v>976535.60385361197</v>
      </c>
      <c r="CB11" s="6">
        <f t="shared" si="31"/>
        <v>2642.8779900143045</v>
      </c>
      <c r="CC11" s="6">
        <v>942687.38452948688</v>
      </c>
      <c r="CD11" s="6">
        <f t="shared" si="32"/>
        <v>2551.2717920427276</v>
      </c>
      <c r="CE11" s="6">
        <f t="shared" si="33"/>
        <v>5194.1497820570321</v>
      </c>
      <c r="CF11" s="6"/>
      <c r="CG11" s="6">
        <f t="shared" si="34"/>
        <v>33848.219324125093</v>
      </c>
      <c r="CH11" s="6">
        <f t="shared" si="35"/>
        <v>91.606197971576577</v>
      </c>
      <c r="CI11" s="6">
        <v>13.527230729999999</v>
      </c>
      <c r="CJ11" s="6">
        <f t="shared" si="36"/>
        <v>2572.2029233095</v>
      </c>
      <c r="CK11" s="6">
        <v>14.272493730000001</v>
      </c>
      <c r="CL11" s="6">
        <f t="shared" si="37"/>
        <v>2713.9146827595</v>
      </c>
      <c r="CM11" s="6">
        <f t="shared" si="38"/>
        <v>-141.71175945000027</v>
      </c>
      <c r="CO11" s="5">
        <v>46062</v>
      </c>
      <c r="CP11" s="6">
        <v>1009333.892304128</v>
      </c>
      <c r="CQ11" s="6">
        <f t="shared" si="39"/>
        <v>2731.6426743882735</v>
      </c>
      <c r="CR11" s="6">
        <v>932207.198474298</v>
      </c>
      <c r="CS11" s="6">
        <f t="shared" si="40"/>
        <v>2522.9084093383881</v>
      </c>
      <c r="CT11" s="6">
        <f t="shared" si="41"/>
        <v>5254.5510837266611</v>
      </c>
      <c r="CU11" s="6"/>
      <c r="CV11" s="6">
        <f t="shared" si="42"/>
        <v>77126.693829830037</v>
      </c>
      <c r="CW11" s="6">
        <f t="shared" si="43"/>
        <v>208.73426504988555</v>
      </c>
      <c r="CX11" s="6">
        <v>13.369430339999999</v>
      </c>
      <c r="CY11" s="6">
        <f t="shared" si="44"/>
        <v>2542.197179151</v>
      </c>
      <c r="CZ11" s="6">
        <v>14.74975122</v>
      </c>
      <c r="DA11" s="6">
        <f t="shared" si="45"/>
        <v>2804.6651944830001</v>
      </c>
      <c r="DB11" s="6">
        <f t="shared" si="46"/>
        <v>-262.46801533200022</v>
      </c>
      <c r="DD11" s="5">
        <v>46062</v>
      </c>
      <c r="DE11" s="6">
        <v>1015256.292514544</v>
      </c>
      <c r="DF11" s="6">
        <f t="shared" si="47"/>
        <v>2747.6709493455792</v>
      </c>
      <c r="DG11" s="6">
        <v>981827.32960260904</v>
      </c>
      <c r="DH11" s="6">
        <f t="shared" si="48"/>
        <v>2657.1994192136362</v>
      </c>
      <c r="DI11" s="6">
        <f t="shared" si="49"/>
        <v>5404.8703685592154</v>
      </c>
      <c r="DJ11" s="6"/>
      <c r="DK11" s="6">
        <f t="shared" si="50"/>
        <v>33428.962911934941</v>
      </c>
      <c r="DL11" s="6">
        <f t="shared" si="51"/>
        <v>90.47153013194314</v>
      </c>
      <c r="DM11" s="6">
        <v>5.6726835100000006</v>
      </c>
      <c r="DN11" s="6">
        <f t="shared" si="52"/>
        <v>2646.9308526011005</v>
      </c>
      <c r="DO11" s="6">
        <v>5.9793199499999989</v>
      </c>
      <c r="DP11" s="6">
        <f t="shared" si="53"/>
        <v>2790.0104818694995</v>
      </c>
      <c r="DQ11" s="6">
        <f t="shared" si="54"/>
        <v>-143.07962926839923</v>
      </c>
      <c r="DS11" s="5">
        <v>46062</v>
      </c>
      <c r="DT11" s="6">
        <v>992619.18223612197</v>
      </c>
      <c r="DU11" s="6">
        <f t="shared" si="55"/>
        <v>2686.406290610887</v>
      </c>
      <c r="DV11" s="6">
        <v>970260.44502328406</v>
      </c>
      <c r="DW11" s="6">
        <f t="shared" si="56"/>
        <v>2625.8950156188275</v>
      </c>
      <c r="DX11" s="6">
        <f t="shared" si="57"/>
        <v>5312.3013062297141</v>
      </c>
      <c r="DY11" s="6"/>
      <c r="DZ11" s="6">
        <f t="shared" si="58"/>
        <v>22358.737212837907</v>
      </c>
      <c r="EA11" s="6">
        <f t="shared" si="59"/>
        <v>60.511274992059789</v>
      </c>
      <c r="EB11" s="6">
        <v>5.6053876999999996</v>
      </c>
      <c r="EC11" s="6">
        <f t="shared" si="60"/>
        <v>2615.529954697</v>
      </c>
      <c r="ED11" s="6">
        <v>5.8474776200000003</v>
      </c>
      <c r="EE11" s="6">
        <f t="shared" si="61"/>
        <v>2728.4915322682</v>
      </c>
      <c r="EF11" s="6">
        <f t="shared" si="62"/>
        <v>-112.96157757120029</v>
      </c>
      <c r="EH11" s="5">
        <v>46062</v>
      </c>
      <c r="EI11" s="6">
        <v>2898072</v>
      </c>
      <c r="EJ11" s="6">
        <f t="shared" si="63"/>
        <v>7843.288736275199</v>
      </c>
      <c r="EK11" s="6">
        <v>2858092</v>
      </c>
      <c r="EL11" s="6">
        <f t="shared" si="64"/>
        <v>7735.0875999071986</v>
      </c>
      <c r="EM11" s="6">
        <f t="shared" si="65"/>
        <v>15578.376336182399</v>
      </c>
      <c r="EN11" s="6"/>
      <c r="EO11" s="6">
        <f t="shared" si="66"/>
        <v>39980</v>
      </c>
      <c r="EP11" s="6">
        <f t="shared" si="67"/>
        <v>108.20113636799999</v>
      </c>
      <c r="EQ11" s="6">
        <v>18.57348</v>
      </c>
      <c r="ER11" s="6">
        <f t="shared" si="68"/>
        <v>7768.9152143999991</v>
      </c>
      <c r="ES11" s="6">
        <v>18.92126</v>
      </c>
      <c r="ET11" s="6">
        <f t="shared" si="69"/>
        <v>7914.3846328</v>
      </c>
      <c r="EU11" s="6">
        <f t="shared" si="70"/>
        <v>-145.46941840000008</v>
      </c>
      <c r="EW11" s="5">
        <v>46062</v>
      </c>
      <c r="EX11" s="6">
        <v>2868493</v>
      </c>
      <c r="EY11" s="6">
        <f t="shared" si="71"/>
        <v>7763.2366749287994</v>
      </c>
      <c r="EZ11" s="6">
        <v>2827184</v>
      </c>
      <c r="FA11" s="6">
        <f t="shared" si="72"/>
        <v>7651.4387574143993</v>
      </c>
      <c r="FB11" s="6">
        <f t="shared" si="73"/>
        <v>15414.6754323432</v>
      </c>
      <c r="FC11" s="6"/>
      <c r="FD11" s="6">
        <f t="shared" si="74"/>
        <v>41309</v>
      </c>
      <c r="FE11" s="6">
        <f t="shared" si="75"/>
        <v>111.7979175144</v>
      </c>
      <c r="FF11" s="6">
        <v>18.335270000000001</v>
      </c>
      <c r="FG11" s="6">
        <f t="shared" si="76"/>
        <v>7669.2767356000004</v>
      </c>
      <c r="FH11" s="6">
        <v>18.736879999999999</v>
      </c>
      <c r="FI11" s="6">
        <f t="shared" si="77"/>
        <v>7837.2621663999989</v>
      </c>
      <c r="FJ11" s="6">
        <f t="shared" si="78"/>
        <v>-167.98543079999916</v>
      </c>
      <c r="FL11" s="5">
        <v>46062</v>
      </c>
      <c r="FM11" s="6">
        <v>774668.2</v>
      </c>
      <c r="FN11" s="6">
        <f t="shared" si="79"/>
        <v>2096.5477625851199</v>
      </c>
      <c r="FO11" s="6">
        <v>706298.6</v>
      </c>
      <c r="FP11" s="6">
        <f t="shared" si="80"/>
        <v>1911.51353514576</v>
      </c>
      <c r="FQ11" s="6">
        <f t="shared" si="81"/>
        <v>4008.0612977308801</v>
      </c>
      <c r="FR11" s="6"/>
      <c r="FS11" s="6">
        <f t="shared" si="82"/>
        <v>68369.599999999977</v>
      </c>
      <c r="FT11" s="6">
        <f t="shared" si="83"/>
        <v>185.03422743935991</v>
      </c>
      <c r="FU11" s="6">
        <v>889578.8</v>
      </c>
      <c r="FV11" s="6">
        <f t="shared" si="84"/>
        <v>1779.1576000000002</v>
      </c>
      <c r="FW11" s="6">
        <v>1017193</v>
      </c>
      <c r="FX11" s="6">
        <f t="shared" si="85"/>
        <v>2034.386</v>
      </c>
      <c r="FY11" s="6">
        <f t="shared" si="86"/>
        <v>-255.22839999999991</v>
      </c>
      <c r="GA11" s="5">
        <v>46062</v>
      </c>
      <c r="GB11" s="6">
        <v>768145.1</v>
      </c>
      <c r="GC11" s="6">
        <f t="shared" si="87"/>
        <v>2078.89376477016</v>
      </c>
      <c r="GD11" s="6">
        <v>735030.3</v>
      </c>
      <c r="GE11" s="6">
        <f t="shared" si="88"/>
        <v>1989.27247936248</v>
      </c>
      <c r="GF11" s="6">
        <f t="shared" si="89"/>
        <v>4068.1662441326398</v>
      </c>
      <c r="GG11" s="6"/>
      <c r="GH11" s="6">
        <f t="shared" si="90"/>
        <v>33114.79999999993</v>
      </c>
      <c r="GI11" s="6">
        <f t="shared" si="91"/>
        <v>89.621285407679792</v>
      </c>
      <c r="GJ11" s="6">
        <v>925643.8</v>
      </c>
      <c r="GK11" s="6">
        <f t="shared" si="92"/>
        <v>1851.2876000000001</v>
      </c>
      <c r="GL11" s="6">
        <v>1008771</v>
      </c>
      <c r="GM11" s="6">
        <f t="shared" si="93"/>
        <v>2017.5420000000001</v>
      </c>
      <c r="GN11" s="6">
        <f t="shared" si="94"/>
        <v>-166.25439999999992</v>
      </c>
      <c r="GP11" s="5">
        <v>46062</v>
      </c>
      <c r="GQ11" s="6">
        <v>736828.8</v>
      </c>
      <c r="GR11" s="6">
        <f t="shared" si="95"/>
        <v>1994.1399066700799</v>
      </c>
      <c r="GS11" s="6">
        <v>737271</v>
      </c>
      <c r="GT11" s="6">
        <f t="shared" si="96"/>
        <v>1995.3366686135998</v>
      </c>
      <c r="GU11" s="6">
        <f t="shared" si="97"/>
        <v>3989.4765752836797</v>
      </c>
      <c r="GV11" s="6"/>
      <c r="GW11" s="6">
        <f t="shared" si="98"/>
        <v>-442.19999999995343</v>
      </c>
      <c r="GX11" s="6">
        <f t="shared" si="99"/>
        <v>-1.196761943519874</v>
      </c>
      <c r="GY11" s="6">
        <v>580.99689999999998</v>
      </c>
      <c r="GZ11" s="6">
        <f t="shared" si="100"/>
        <v>1952.7305808999999</v>
      </c>
      <c r="HA11" s="6">
        <v>604.30430000000001</v>
      </c>
      <c r="HB11" s="6">
        <f t="shared" si="101"/>
        <v>2031.0667523000002</v>
      </c>
      <c r="HC11" s="6">
        <f t="shared" si="207"/>
        <v>-78.336171400000111</v>
      </c>
      <c r="HE11" s="5">
        <v>46062</v>
      </c>
      <c r="HF11" s="6">
        <v>743552</v>
      </c>
      <c r="HG11" s="6">
        <f t="shared" si="102"/>
        <v>2012.3354514431999</v>
      </c>
      <c r="HH11" s="6">
        <v>724238.7</v>
      </c>
      <c r="HI11" s="6">
        <f t="shared" si="103"/>
        <v>1960.0662916879198</v>
      </c>
      <c r="HJ11" s="6">
        <f t="shared" si="104"/>
        <v>3972.4017431311195</v>
      </c>
      <c r="HK11" s="6"/>
      <c r="HL11" s="6">
        <f t="shared" si="105"/>
        <v>19313.300000000047</v>
      </c>
      <c r="HM11" s="6">
        <f t="shared" si="106"/>
        <v>52.269159755280121</v>
      </c>
      <c r="HN11" s="6">
        <v>569.94680000000005</v>
      </c>
      <c r="HO11" s="6">
        <f t="shared" si="107"/>
        <v>1915.5911948000003</v>
      </c>
      <c r="HP11" s="6">
        <v>609.72929999999997</v>
      </c>
      <c r="HQ11" s="6">
        <f t="shared" si="108"/>
        <v>2049.3001773000001</v>
      </c>
      <c r="HR11" s="6">
        <f t="shared" si="109"/>
        <v>-133.70898249999971</v>
      </c>
      <c r="HT11" s="5">
        <v>46062</v>
      </c>
      <c r="HU11" s="6">
        <v>708727.7</v>
      </c>
      <c r="HV11" s="6">
        <f t="shared" si="110"/>
        <v>1918.0876066903197</v>
      </c>
      <c r="HW11" s="6">
        <v>734775.2</v>
      </c>
      <c r="HX11" s="6">
        <f t="shared" si="111"/>
        <v>1988.5820814163199</v>
      </c>
      <c r="HY11" s="6">
        <f t="shared" si="112"/>
        <v>3906.6696881066396</v>
      </c>
      <c r="HZ11" s="6"/>
      <c r="IA11" s="6">
        <f t="shared" si="113"/>
        <v>-26047.5</v>
      </c>
      <c r="IB11" s="6">
        <f t="shared" si="114"/>
        <v>-70.494474725999993</v>
      </c>
      <c r="IC11" s="6">
        <v>3.1667649999999998</v>
      </c>
      <c r="ID11" s="6">
        <f t="shared" si="115"/>
        <v>1949.04885455</v>
      </c>
      <c r="IE11" s="6">
        <v>3.1803870000000001</v>
      </c>
      <c r="IF11" s="6">
        <f t="shared" si="116"/>
        <v>1957.4327868900002</v>
      </c>
      <c r="IG11" s="6">
        <f t="shared" si="117"/>
        <v>-8.3839323400001504</v>
      </c>
      <c r="II11" s="5">
        <v>46062</v>
      </c>
      <c r="IJ11" s="6">
        <v>698877.4</v>
      </c>
      <c r="IK11" s="6">
        <f t="shared" si="118"/>
        <v>1891.4289360158398</v>
      </c>
      <c r="IL11" s="6">
        <v>697875.6</v>
      </c>
      <c r="IM11" s="6">
        <f t="shared" si="119"/>
        <v>1888.7176829289597</v>
      </c>
      <c r="IN11" s="6">
        <f t="shared" si="120"/>
        <v>3780.1466189447992</v>
      </c>
      <c r="IO11" s="6"/>
      <c r="IP11" s="6">
        <f t="shared" si="121"/>
        <v>1001.8000000000466</v>
      </c>
      <c r="IQ11" s="6">
        <f t="shared" si="122"/>
        <v>2.7112530868801259</v>
      </c>
      <c r="IR11" s="6">
        <v>3.0078740000000002</v>
      </c>
      <c r="IS11" s="6">
        <f t="shared" si="123"/>
        <v>1851.2562107800002</v>
      </c>
      <c r="IT11" s="6">
        <v>3.1365750000000001</v>
      </c>
      <c r="IU11" s="6">
        <f t="shared" si="124"/>
        <v>1930.4678152500001</v>
      </c>
      <c r="IV11" s="6">
        <f t="shared" si="125"/>
        <v>-79.211604469999969</v>
      </c>
      <c r="IX11" s="5">
        <v>46062</v>
      </c>
      <c r="IY11" s="6">
        <v>1029751</v>
      </c>
      <c r="IZ11" s="6">
        <f t="shared" si="126"/>
        <v>2786.8991589816001</v>
      </c>
      <c r="JA11" s="6">
        <v>953445.7</v>
      </c>
      <c r="JB11" s="6">
        <f t="shared" si="127"/>
        <v>2580.38789907912</v>
      </c>
      <c r="JC11" s="6">
        <f t="shared" si="128"/>
        <v>5367.2870580607196</v>
      </c>
      <c r="JD11" s="6"/>
      <c r="JE11" s="6">
        <f t="shared" si="129"/>
        <v>76305.300000000047</v>
      </c>
      <c r="JF11" s="6">
        <f t="shared" si="130"/>
        <v>206.51125990248011</v>
      </c>
      <c r="JG11" s="6">
        <v>18.982030000000002</v>
      </c>
      <c r="JH11" s="6">
        <f t="shared" si="131"/>
        <v>2604.1446957000003</v>
      </c>
      <c r="JI11" s="6">
        <v>20.93393</v>
      </c>
      <c r="JJ11" s="6">
        <f t="shared" si="132"/>
        <v>2871.9258567000002</v>
      </c>
      <c r="JK11" s="6">
        <f t="shared" si="133"/>
        <v>-267.78116099999977</v>
      </c>
      <c r="JM11" s="5">
        <v>46062</v>
      </c>
      <c r="JN11" s="6">
        <v>1011441</v>
      </c>
      <c r="JO11" s="6">
        <f t="shared" si="134"/>
        <v>2737.3453118855996</v>
      </c>
      <c r="JP11" s="6">
        <v>911327.6</v>
      </c>
      <c r="JQ11" s="6">
        <f t="shared" si="135"/>
        <v>2466.4002482121596</v>
      </c>
      <c r="JR11" s="6">
        <f t="shared" si="136"/>
        <v>5203.7455600977592</v>
      </c>
      <c r="JS11" s="6"/>
      <c r="JT11" s="6">
        <f t="shared" si="137"/>
        <v>100113.40000000002</v>
      </c>
      <c r="JU11" s="6">
        <f t="shared" si="138"/>
        <v>270.94506367344007</v>
      </c>
      <c r="JV11" s="6">
        <v>18.145790000000002</v>
      </c>
      <c r="JW11" s="6">
        <f t="shared" si="139"/>
        <v>2489.4209301000001</v>
      </c>
      <c r="JX11" s="6">
        <v>20.566870000000002</v>
      </c>
      <c r="JY11" s="6">
        <f t="shared" si="140"/>
        <v>2821.5688953000003</v>
      </c>
      <c r="JZ11" s="6">
        <f t="shared" si="141"/>
        <v>-332.14796519999999</v>
      </c>
      <c r="KB11" s="5">
        <v>46062</v>
      </c>
      <c r="KC11" s="6">
        <v>1029998.646084767</v>
      </c>
      <c r="KD11" s="6">
        <f t="shared" si="142"/>
        <v>2787.5693837887252</v>
      </c>
      <c r="KE11" s="6">
        <v>944064.87605533819</v>
      </c>
      <c r="KF11" s="6">
        <f t="shared" si="143"/>
        <v>2554.9998097624475</v>
      </c>
      <c r="KG11" s="6">
        <f t="shared" si="144"/>
        <v>5342.5691935511732</v>
      </c>
      <c r="KH11" s="6"/>
      <c r="KI11" s="6">
        <f t="shared" si="145"/>
        <v>85933.770029428764</v>
      </c>
      <c r="KJ11" s="6">
        <f t="shared" si="146"/>
        <v>232.56957402627742</v>
      </c>
      <c r="KK11" s="6">
        <v>3.6980492589999989</v>
      </c>
      <c r="KL11" s="6">
        <f t="shared" si="147"/>
        <v>2575.8022503712691</v>
      </c>
      <c r="KM11" s="6">
        <v>4.1147772070000004</v>
      </c>
      <c r="KN11" s="6">
        <f t="shared" si="148"/>
        <v>2866.0657679917103</v>
      </c>
      <c r="KO11" s="6">
        <f t="shared" si="149"/>
        <v>-290.26351762044101</v>
      </c>
      <c r="KQ11" s="5">
        <v>46062</v>
      </c>
      <c r="KR11" s="6">
        <v>1077337.1389294909</v>
      </c>
      <c r="KS11" s="6">
        <f t="shared" si="150"/>
        <v>2915.6854097954174</v>
      </c>
      <c r="KT11" s="6">
        <v>980078.75595881394</v>
      </c>
      <c r="KU11" s="6">
        <f t="shared" si="151"/>
        <v>2652.4671116778245</v>
      </c>
      <c r="KV11" s="6">
        <f t="shared" si="152"/>
        <v>5568.1525214732419</v>
      </c>
      <c r="KW11" s="6"/>
      <c r="KX11" s="6">
        <f t="shared" si="153"/>
        <v>97258.38297067699</v>
      </c>
      <c r="KY11" s="6">
        <f t="shared" si="154"/>
        <v>263.21829811759352</v>
      </c>
      <c r="KZ11" s="6">
        <v>3.8373503599999998</v>
      </c>
      <c r="LA11" s="6">
        <f t="shared" si="155"/>
        <v>2672.8296462507997</v>
      </c>
      <c r="LB11" s="6">
        <v>4.3041659790000004</v>
      </c>
      <c r="LC11" s="6">
        <f t="shared" si="156"/>
        <v>2997.9807293528702</v>
      </c>
      <c r="LD11" s="6">
        <f t="shared" si="157"/>
        <v>-325.1510831020704</v>
      </c>
      <c r="LF11" s="5">
        <v>46062</v>
      </c>
      <c r="LG11" s="6">
        <v>972063.59490122297</v>
      </c>
      <c r="LH11" s="6">
        <f t="shared" si="158"/>
        <v>2630.7750272705234</v>
      </c>
      <c r="LI11" s="6">
        <v>966029.79573356698</v>
      </c>
      <c r="LJ11" s="6">
        <f t="shared" si="159"/>
        <v>2614.445264225084</v>
      </c>
      <c r="LK11" s="6">
        <f t="shared" si="160"/>
        <v>5245.2202914956069</v>
      </c>
      <c r="LL11" s="6"/>
      <c r="LM11" s="6">
        <f t="shared" si="161"/>
        <v>6033.7991676559905</v>
      </c>
      <c r="LN11" s="6">
        <f t="shared" si="162"/>
        <v>16.329763045439485</v>
      </c>
      <c r="LO11" s="6">
        <v>44.381821000000002</v>
      </c>
      <c r="LP11" s="6">
        <f t="shared" si="163"/>
        <v>2651.3699865400004</v>
      </c>
      <c r="LQ11" s="6">
        <v>45.51191764</v>
      </c>
      <c r="LR11" s="6">
        <f t="shared" si="164"/>
        <v>2718.8819598136001</v>
      </c>
      <c r="LS11" s="6">
        <f t="shared" si="165"/>
        <v>-67.511973273599878</v>
      </c>
      <c r="LU11" s="5">
        <v>46062</v>
      </c>
      <c r="LV11" s="6">
        <v>918849.55109715299</v>
      </c>
      <c r="LW11" s="6">
        <f t="shared" si="166"/>
        <v>2486.7575182575943</v>
      </c>
      <c r="LX11" s="6">
        <v>954999.16980300203</v>
      </c>
      <c r="LY11" s="6">
        <f t="shared" si="167"/>
        <v>2584.5921811701201</v>
      </c>
      <c r="LZ11" s="6">
        <f t="shared" si="168"/>
        <v>5071.3496994277139</v>
      </c>
      <c r="MA11" s="6"/>
      <c r="MB11" s="6">
        <f t="shared" si="169"/>
        <v>-36149.618705849047</v>
      </c>
      <c r="MC11" s="6">
        <f t="shared" si="170"/>
        <v>-97.834662912525658</v>
      </c>
      <c r="MD11" s="6">
        <v>43.846208170000011</v>
      </c>
      <c r="ME11" s="6">
        <f t="shared" si="171"/>
        <v>2619.3724760758009</v>
      </c>
      <c r="MF11" s="6">
        <v>43.055684669999998</v>
      </c>
      <c r="MG11" s="6">
        <f t="shared" si="172"/>
        <v>2572.1466021858</v>
      </c>
      <c r="MH11" s="6">
        <f t="shared" si="173"/>
        <v>47.225873890000791</v>
      </c>
      <c r="MJ11" s="5">
        <v>46062</v>
      </c>
      <c r="MK11" s="6">
        <v>1095829</v>
      </c>
      <c r="ML11" s="6">
        <f t="shared" si="174"/>
        <v>2965.7314423463999</v>
      </c>
      <c r="MM11" s="6">
        <v>985321.6</v>
      </c>
      <c r="MN11" s="6">
        <f t="shared" si="175"/>
        <v>2666.6562483225598</v>
      </c>
      <c r="MO11" s="6">
        <f t="shared" si="176"/>
        <v>5632.3876906689602</v>
      </c>
      <c r="MP11" s="6"/>
      <c r="MQ11" s="6">
        <f t="shared" si="177"/>
        <v>110507.40000000002</v>
      </c>
      <c r="MR11" s="6">
        <f t="shared" si="178"/>
        <v>299.07519402384003</v>
      </c>
      <c r="MS11" s="6">
        <v>8.109826</v>
      </c>
      <c r="MT11" s="6">
        <f t="shared" si="179"/>
        <v>2634.8013691399997</v>
      </c>
      <c r="MU11" s="6">
        <v>9.2033629999999995</v>
      </c>
      <c r="MV11" s="6">
        <f t="shared" si="180"/>
        <v>2990.0806050699998</v>
      </c>
      <c r="MW11" s="6">
        <f t="shared" si="181"/>
        <v>-355.27923592999986</v>
      </c>
      <c r="MY11" s="5">
        <v>46062</v>
      </c>
      <c r="MZ11" s="6">
        <v>1101524</v>
      </c>
      <c r="NA11" s="6">
        <f t="shared" si="182"/>
        <v>2981.1442855584</v>
      </c>
      <c r="NB11" s="6">
        <v>999772.2</v>
      </c>
      <c r="NC11" s="6">
        <f t="shared" si="183"/>
        <v>2705.7650862715195</v>
      </c>
      <c r="ND11" s="6">
        <f t="shared" si="184"/>
        <v>5686.9093718299191</v>
      </c>
      <c r="NE11" s="6"/>
      <c r="NF11" s="6">
        <f t="shared" si="185"/>
        <v>101751.80000000005</v>
      </c>
      <c r="NG11" s="6">
        <f t="shared" si="186"/>
        <v>275.37919928688012</v>
      </c>
      <c r="NH11" s="6">
        <v>8.2269459999999999</v>
      </c>
      <c r="NI11" s="6">
        <f t="shared" si="187"/>
        <v>2672.85248594</v>
      </c>
      <c r="NJ11" s="6">
        <v>9.2545140000000004</v>
      </c>
      <c r="NK11" s="6">
        <f t="shared" si="188"/>
        <v>3006.69905346</v>
      </c>
      <c r="NL11" s="6">
        <f t="shared" si="189"/>
        <v>-333.84656752000012</v>
      </c>
      <c r="NN11" s="5">
        <v>46062</v>
      </c>
      <c r="NO11" s="6">
        <v>981414.40000000002</v>
      </c>
      <c r="NP11" s="6">
        <f t="shared" si="190"/>
        <v>2656.0818741350399</v>
      </c>
      <c r="NQ11" s="6">
        <v>996551.6</v>
      </c>
      <c r="NR11" s="6">
        <f t="shared" si="191"/>
        <v>2697.0489136905599</v>
      </c>
      <c r="NS11" s="6">
        <f t="shared" si="192"/>
        <v>5353.1307878255993</v>
      </c>
      <c r="NT11" s="6"/>
      <c r="NU11" s="6">
        <f t="shared" si="193"/>
        <v>-15137.199999999953</v>
      </c>
      <c r="NV11" s="6">
        <f>NU11*P11*O11</f>
        <v>-40.967039555519868</v>
      </c>
      <c r="NW11" s="6">
        <v>405232</v>
      </c>
      <c r="NX11" s="6">
        <f t="shared" si="195"/>
        <v>2581.3278399999999</v>
      </c>
      <c r="NY11" s="6">
        <v>415408.7</v>
      </c>
      <c r="NZ11" s="6">
        <f t="shared" si="196"/>
        <v>2646.1534190000002</v>
      </c>
      <c r="OA11" s="6">
        <f t="shared" si="197"/>
        <v>-64.825579000000076</v>
      </c>
      <c r="OC11" s="5">
        <v>46062</v>
      </c>
      <c r="OD11" s="6">
        <v>979949.3</v>
      </c>
      <c r="OE11" s="6">
        <f t="shared" si="198"/>
        <v>2652.1167544528798</v>
      </c>
      <c r="OF11" s="6">
        <v>986687.3</v>
      </c>
      <c r="OG11" s="6">
        <f t="shared" si="199"/>
        <v>2670.3523536736798</v>
      </c>
      <c r="OH11" s="6">
        <f t="shared" si="200"/>
        <v>5322.4691081265591</v>
      </c>
      <c r="OI11" s="6"/>
      <c r="OJ11" s="6">
        <f t="shared" si="201"/>
        <v>-6738</v>
      </c>
      <c r="OK11" s="6">
        <f t="shared" si="202"/>
        <v>-18.235599220799998</v>
      </c>
      <c r="OL11" s="6">
        <v>401174.6</v>
      </c>
      <c r="OM11" s="6">
        <f t="shared" si="203"/>
        <v>2555.4822019999997</v>
      </c>
      <c r="ON11" s="6">
        <v>414848.2</v>
      </c>
      <c r="OO11" s="6">
        <f t="shared" si="204"/>
        <v>2642.5830339999998</v>
      </c>
      <c r="OP11" s="6">
        <f t="shared" si="205"/>
        <v>-87.100832000000224</v>
      </c>
    </row>
    <row r="12" spans="1:406" x14ac:dyDescent="0.2">
      <c r="A12" s="5">
        <v>46063</v>
      </c>
      <c r="B12" s="10">
        <v>165.38</v>
      </c>
      <c r="C12" s="6">
        <v>86.56</v>
      </c>
      <c r="D12" s="6">
        <v>191.25</v>
      </c>
      <c r="E12" s="6">
        <v>462.52</v>
      </c>
      <c r="F12" s="6">
        <v>425.34</v>
      </c>
      <c r="G12" s="2">
        <v>1.91E-3</v>
      </c>
      <c r="H12" s="6">
        <v>3.238</v>
      </c>
      <c r="I12" s="6">
        <v>613.41</v>
      </c>
      <c r="J12" s="6">
        <v>133.07</v>
      </c>
      <c r="K12" s="6">
        <v>696.91</v>
      </c>
      <c r="L12" s="6">
        <v>59.61</v>
      </c>
      <c r="M12" s="6">
        <v>319.02</v>
      </c>
      <c r="N12" s="6">
        <v>6.1399999999999996E-3</v>
      </c>
      <c r="O12" s="6">
        <v>86.578999999999994</v>
      </c>
      <c r="P12" s="7">
        <v>3.1359999999999998E-5</v>
      </c>
      <c r="R12" s="5">
        <v>46063</v>
      </c>
      <c r="S12" s="6">
        <v>790086.99702100095</v>
      </c>
      <c r="T12" s="6">
        <f t="shared" si="0"/>
        <v>2145.1789847289474</v>
      </c>
      <c r="U12" s="6">
        <v>807705.92313116998</v>
      </c>
      <c r="V12" s="6">
        <f t="shared" si="1"/>
        <v>2193.0164382847388</v>
      </c>
      <c r="W12" s="6">
        <f t="shared" si="2"/>
        <v>4338.1954230136862</v>
      </c>
      <c r="X12" s="6"/>
      <c r="Y12" s="6">
        <f t="shared" si="3"/>
        <v>-17618.926110169035</v>
      </c>
      <c r="Z12" s="6">
        <f t="shared" si="4"/>
        <v>-47.837453555791299</v>
      </c>
      <c r="AA12" s="6">
        <v>12.88629564</v>
      </c>
      <c r="AB12" s="6">
        <f t="shared" si="5"/>
        <v>2131.1355729431998</v>
      </c>
      <c r="AC12" s="6">
        <v>12.85571768</v>
      </c>
      <c r="AD12" s="6">
        <f t="shared" si="6"/>
        <v>2126.0785899183998</v>
      </c>
      <c r="AE12" s="6">
        <f t="shared" si="7"/>
        <v>5.0569830248000756</v>
      </c>
      <c r="AG12" s="5">
        <v>46063</v>
      </c>
      <c r="AH12" s="6">
        <v>786504.85694090312</v>
      </c>
      <c r="AI12" s="6">
        <f t="shared" si="8"/>
        <v>2135.4530537249507</v>
      </c>
      <c r="AJ12" s="6">
        <v>804348.75635423092</v>
      </c>
      <c r="AK12" s="6">
        <f t="shared" si="9"/>
        <v>2183.9013362196829</v>
      </c>
      <c r="AL12" s="6">
        <f t="shared" si="10"/>
        <v>4319.354389944634</v>
      </c>
      <c r="AM12" s="6"/>
      <c r="AN12" s="6">
        <f t="shared" si="11"/>
        <v>-17843.899413327803</v>
      </c>
      <c r="AO12" s="6">
        <f t="shared" si="12"/>
        <v>-48.448282494732076</v>
      </c>
      <c r="AP12" s="6">
        <v>12.830769330000001</v>
      </c>
      <c r="AQ12" s="6">
        <f t="shared" si="13"/>
        <v>2121.9526317954001</v>
      </c>
      <c r="AR12" s="6">
        <v>12.809286699999999</v>
      </c>
      <c r="AS12" s="6">
        <f t="shared" si="14"/>
        <v>2118.3998344459997</v>
      </c>
      <c r="AT12" s="6">
        <f t="shared" si="15"/>
        <v>3.5527973494002114</v>
      </c>
      <c r="AV12" s="5">
        <v>46063</v>
      </c>
      <c r="AW12" s="6">
        <v>779374.84380060702</v>
      </c>
      <c r="AX12" s="6">
        <f t="shared" si="16"/>
        <v>2116.0942307003038</v>
      </c>
      <c r="AY12" s="6">
        <v>811081.72213113611</v>
      </c>
      <c r="AZ12" s="6">
        <f t="shared" si="17"/>
        <v>2202.1821290234811</v>
      </c>
      <c r="BA12" s="6">
        <f t="shared" si="18"/>
        <v>4318.2763597237845</v>
      </c>
      <c r="BB12" s="6"/>
      <c r="BC12" s="6">
        <f t="shared" si="206"/>
        <v>-31706.878330529085</v>
      </c>
      <c r="BD12" s="6">
        <f t="shared" si="19"/>
        <v>-86.087898323177598</v>
      </c>
      <c r="BE12" s="6">
        <v>24.883417380000001</v>
      </c>
      <c r="BF12" s="6">
        <f t="shared" si="20"/>
        <v>2153.9086084128003</v>
      </c>
      <c r="BG12" s="6">
        <v>24.381144150000001</v>
      </c>
      <c r="BH12" s="6">
        <f t="shared" si="21"/>
        <v>2110.4318376240003</v>
      </c>
      <c r="BI12" s="6">
        <f t="shared" si="22"/>
        <v>43.47677078880001</v>
      </c>
      <c r="BK12" s="5">
        <v>46063</v>
      </c>
      <c r="BL12" s="6">
        <v>805389.36002671102</v>
      </c>
      <c r="BM12" s="6">
        <f t="shared" si="23"/>
        <v>2186.7266973989617</v>
      </c>
      <c r="BN12" s="6">
        <v>811081.72213113611</v>
      </c>
      <c r="BO12" s="6">
        <f t="shared" si="24"/>
        <v>2202.1821290234811</v>
      </c>
      <c r="BP12" s="6">
        <f t="shared" si="25"/>
        <v>4388.9088264224429</v>
      </c>
      <c r="BQ12" s="6"/>
      <c r="BR12" s="6">
        <f t="shared" si="26"/>
        <v>-5692.3621044250904</v>
      </c>
      <c r="BS12" s="6">
        <f t="shared" si="27"/>
        <v>-15.455431624519662</v>
      </c>
      <c r="BT12" s="6">
        <v>24.881544099999999</v>
      </c>
      <c r="BU12" s="6">
        <f t="shared" si="28"/>
        <v>2153.7464572959998</v>
      </c>
      <c r="BV12" s="6">
        <v>25.196190430000009</v>
      </c>
      <c r="BW12" s="6">
        <f t="shared" si="29"/>
        <v>2180.982243620801</v>
      </c>
      <c r="BX12" s="6">
        <f t="shared" si="30"/>
        <v>-27.235786324800806</v>
      </c>
      <c r="BZ12" s="5">
        <v>46063</v>
      </c>
      <c r="CA12" s="6">
        <v>798475.20429198304</v>
      </c>
      <c r="CB12" s="6">
        <f t="shared" si="31"/>
        <v>2167.9539525807254</v>
      </c>
      <c r="CC12" s="6">
        <v>806737.352469965</v>
      </c>
      <c r="CD12" s="6">
        <f t="shared" si="32"/>
        <v>2190.3866551906285</v>
      </c>
      <c r="CE12" s="6">
        <f t="shared" si="33"/>
        <v>4358.3406077713535</v>
      </c>
      <c r="CF12" s="6"/>
      <c r="CG12" s="6">
        <f t="shared" si="34"/>
        <v>-8262.1481779819587</v>
      </c>
      <c r="CH12" s="6">
        <f>CG12*P12*O12</f>
        <v>-22.432702609903036</v>
      </c>
      <c r="CI12" s="6">
        <v>11.196119039999999</v>
      </c>
      <c r="CJ12" s="6">
        <f t="shared" si="36"/>
        <v>2141.2577664</v>
      </c>
      <c r="CK12" s="6">
        <v>11.30721106</v>
      </c>
      <c r="CL12" s="6">
        <f t="shared" si="37"/>
        <v>2162.5041152250001</v>
      </c>
      <c r="CM12" s="6">
        <f t="shared" si="38"/>
        <v>-21.246348825000183</v>
      </c>
      <c r="CO12" s="5">
        <v>46063</v>
      </c>
      <c r="CP12" s="6">
        <v>798422.08913485799</v>
      </c>
      <c r="CQ12" s="6">
        <f t="shared" si="39"/>
        <v>2167.8097386912873</v>
      </c>
      <c r="CR12" s="6">
        <v>813871.87687250611</v>
      </c>
      <c r="CS12" s="6">
        <f t="shared" si="40"/>
        <v>2209.7577268220734</v>
      </c>
      <c r="CT12" s="6">
        <f t="shared" si="41"/>
        <v>4377.5674655133607</v>
      </c>
      <c r="CU12" s="6"/>
      <c r="CV12" s="6">
        <f t="shared" si="42"/>
        <v>-15449.787737648119</v>
      </c>
      <c r="CW12" s="6">
        <f t="shared" si="43"/>
        <v>-41.947988130786548</v>
      </c>
      <c r="CX12" s="6">
        <v>11.299615510000001</v>
      </c>
      <c r="CY12" s="6">
        <f t="shared" si="44"/>
        <v>2161.0514662875003</v>
      </c>
      <c r="CZ12" s="6">
        <v>11.30721106</v>
      </c>
      <c r="DA12" s="6">
        <f t="shared" si="45"/>
        <v>2162.5041152250001</v>
      </c>
      <c r="DB12" s="6">
        <f t="shared" si="46"/>
        <v>-1.4526489374999163</v>
      </c>
      <c r="DD12" s="5">
        <v>46063</v>
      </c>
      <c r="DE12" s="6">
        <v>800856.33145239577</v>
      </c>
      <c r="DF12" s="6">
        <f t="shared" si="47"/>
        <v>2174.4189924608199</v>
      </c>
      <c r="DG12" s="6">
        <v>807840.99117253488</v>
      </c>
      <c r="DH12" s="6">
        <f t="shared" si="48"/>
        <v>2193.383163879435</v>
      </c>
      <c r="DI12" s="6">
        <f t="shared" si="49"/>
        <v>4367.8021563402544</v>
      </c>
      <c r="DJ12" s="6"/>
      <c r="DK12" s="6">
        <f t="shared" si="50"/>
        <v>-6984.6597201391123</v>
      </c>
      <c r="DL12" s="6">
        <f t="shared" si="51"/>
        <v>-18.964171418615219</v>
      </c>
      <c r="DM12" s="6">
        <v>4.6085916100000004</v>
      </c>
      <c r="DN12" s="6">
        <f>DM12*E12</f>
        <v>2131.5657914572002</v>
      </c>
      <c r="DO12" s="6">
        <v>4.6618311600000002</v>
      </c>
      <c r="DP12" s="6">
        <f t="shared" si="53"/>
        <v>2156.1901481231998</v>
      </c>
      <c r="DQ12" s="6">
        <f t="shared" si="54"/>
        <v>-24.624356665999908</v>
      </c>
      <c r="DS12" s="5">
        <v>46063</v>
      </c>
      <c r="DT12" s="6">
        <v>807257.48221059109</v>
      </c>
      <c r="DU12" s="6">
        <f t="shared" si="55"/>
        <v>2191.7988685204655</v>
      </c>
      <c r="DV12" s="6">
        <v>807840.99117253488</v>
      </c>
      <c r="DW12" s="6">
        <f t="shared" si="56"/>
        <v>2193.383163879435</v>
      </c>
      <c r="DX12" s="6">
        <f t="shared" si="57"/>
        <v>4385.1820323999</v>
      </c>
      <c r="DY12" s="6"/>
      <c r="DZ12" s="6">
        <f t="shared" si="58"/>
        <v>-583.50896194379311</v>
      </c>
      <c r="EA12" s="6">
        <f t="shared" si="59"/>
        <v>-1.5842953589698887</v>
      </c>
      <c r="EB12" s="6">
        <v>4.6084175700000003</v>
      </c>
      <c r="EC12" s="6">
        <f t="shared" si="60"/>
        <v>2131.4852944764002</v>
      </c>
      <c r="ED12" s="6">
        <v>4.6943731</v>
      </c>
      <c r="EE12" s="6">
        <f t="shared" si="61"/>
        <v>2171.241446212</v>
      </c>
      <c r="EF12" s="6">
        <f t="shared" si="62"/>
        <v>-39.756151735599843</v>
      </c>
      <c r="EH12" s="5">
        <v>46063</v>
      </c>
      <c r="EI12" s="6">
        <v>2238357</v>
      </c>
      <c r="EJ12" s="6">
        <f t="shared" si="63"/>
        <v>6077.402127646079</v>
      </c>
      <c r="EK12" s="6">
        <v>2227759</v>
      </c>
      <c r="EL12" s="6">
        <f t="shared" si="64"/>
        <v>6048.6273130169584</v>
      </c>
      <c r="EM12" s="6">
        <f t="shared" si="65"/>
        <v>12126.029440663038</v>
      </c>
      <c r="EN12" s="6"/>
      <c r="EO12" s="6">
        <f t="shared" si="66"/>
        <v>10598</v>
      </c>
      <c r="EP12" s="6">
        <f t="shared" si="67"/>
        <v>28.774814629119994</v>
      </c>
      <c r="EQ12" s="6">
        <v>14.03875</v>
      </c>
      <c r="ER12" s="6">
        <f t="shared" si="68"/>
        <v>5971.2419249999994</v>
      </c>
      <c r="ES12" s="6">
        <v>14.16188</v>
      </c>
      <c r="ET12" s="6">
        <f t="shared" si="69"/>
        <v>6023.6140391999998</v>
      </c>
      <c r="EU12" s="6">
        <f t="shared" si="70"/>
        <v>-52.372114199999885</v>
      </c>
      <c r="EW12" s="5">
        <v>46063</v>
      </c>
      <c r="EX12" s="6">
        <v>2237333</v>
      </c>
      <c r="EY12" s="6">
        <f t="shared" si="71"/>
        <v>6074.6218473875188</v>
      </c>
      <c r="EZ12" s="6">
        <v>2246204</v>
      </c>
      <c r="FA12" s="6">
        <f t="shared" si="72"/>
        <v>6098.7076541977585</v>
      </c>
      <c r="FB12" s="6">
        <f t="shared" si="73"/>
        <v>12173.329501585278</v>
      </c>
      <c r="FC12" s="6"/>
      <c r="FD12" s="6">
        <f t="shared" si="74"/>
        <v>-8871</v>
      </c>
      <c r="FE12" s="6">
        <f t="shared" si="75"/>
        <v>-24.085806810239998</v>
      </c>
      <c r="FF12" s="6">
        <v>14.12505</v>
      </c>
      <c r="FG12" s="6">
        <f t="shared" si="76"/>
        <v>6007.9487669999999</v>
      </c>
      <c r="FH12" s="6">
        <v>14.16188</v>
      </c>
      <c r="FI12" s="6">
        <f t="shared" si="77"/>
        <v>6023.6140391999998</v>
      </c>
      <c r="FJ12" s="6">
        <f t="shared" si="78"/>
        <v>-15.665272200000059</v>
      </c>
      <c r="FL12" s="5">
        <v>46063</v>
      </c>
      <c r="FM12" s="6">
        <v>619869.9</v>
      </c>
      <c r="FN12" s="6">
        <f t="shared" si="79"/>
        <v>1683.0195760210559</v>
      </c>
      <c r="FO12" s="6">
        <v>629870.1</v>
      </c>
      <c r="FP12" s="6">
        <f t="shared" si="80"/>
        <v>1710.1712934445438</v>
      </c>
      <c r="FQ12" s="6">
        <f t="shared" si="81"/>
        <v>3393.1908694655995</v>
      </c>
      <c r="FR12" s="6"/>
      <c r="FS12" s="6">
        <f t="shared" si="82"/>
        <v>-10000.199999999953</v>
      </c>
      <c r="FT12" s="6">
        <f t="shared" si="83"/>
        <v>-27.15171742348787</v>
      </c>
      <c r="FU12" s="6">
        <v>828459</v>
      </c>
      <c r="FV12" s="6">
        <f t="shared" si="84"/>
        <v>1582.3566900000001</v>
      </c>
      <c r="FW12" s="6">
        <v>848876</v>
      </c>
      <c r="FX12" s="6">
        <f t="shared" si="85"/>
        <v>1621.3531600000001</v>
      </c>
      <c r="FY12" s="6">
        <f t="shared" si="86"/>
        <v>-38.996470000000002</v>
      </c>
      <c r="GA12" s="5">
        <v>46063</v>
      </c>
      <c r="GB12" s="6">
        <v>619828.80000000005</v>
      </c>
      <c r="GC12" s="6">
        <f t="shared" si="87"/>
        <v>1682.9079846942718</v>
      </c>
      <c r="GD12" s="6">
        <v>617197.5</v>
      </c>
      <c r="GE12" s="6">
        <f t="shared" si="88"/>
        <v>1675.7636961743997</v>
      </c>
      <c r="GF12" s="6">
        <f t="shared" si="89"/>
        <v>3358.6716808686715</v>
      </c>
      <c r="GG12" s="6"/>
      <c r="GH12" s="6">
        <f t="shared" si="90"/>
        <v>2631.3000000000466</v>
      </c>
      <c r="GI12" s="6">
        <f t="shared" si="91"/>
        <v>7.1442885198721253</v>
      </c>
      <c r="GJ12" s="6">
        <v>811737.1</v>
      </c>
      <c r="GK12" s="6">
        <f t="shared" si="92"/>
        <v>1550.4178609999999</v>
      </c>
      <c r="GL12" s="6">
        <v>848876</v>
      </c>
      <c r="GM12" s="6">
        <f t="shared" si="93"/>
        <v>1621.3531600000001</v>
      </c>
      <c r="GN12" s="6">
        <f t="shared" si="94"/>
        <v>-70.935299000000043</v>
      </c>
      <c r="GP12" s="5">
        <v>46063</v>
      </c>
      <c r="GQ12" s="6">
        <v>616619.80000000005</v>
      </c>
      <c r="GR12" s="6">
        <f t="shared" si="95"/>
        <v>1674.195172829312</v>
      </c>
      <c r="GS12" s="6">
        <v>633316.19999999995</v>
      </c>
      <c r="GT12" s="6">
        <f t="shared" si="96"/>
        <v>1719.5278596545274</v>
      </c>
      <c r="GU12" s="6">
        <f t="shared" si="97"/>
        <v>3393.7230324838392</v>
      </c>
      <c r="GV12" s="6"/>
      <c r="GW12" s="6">
        <f t="shared" si="98"/>
        <v>-16696.399999999907</v>
      </c>
      <c r="GX12" s="6">
        <f t="shared" si="99"/>
        <v>-45.332686825215745</v>
      </c>
      <c r="GY12" s="6">
        <v>499.46660000000003</v>
      </c>
      <c r="GZ12" s="6">
        <f t="shared" si="100"/>
        <v>1617.2728508</v>
      </c>
      <c r="HA12" s="6">
        <v>506.2158</v>
      </c>
      <c r="HB12" s="6">
        <f t="shared" si="101"/>
        <v>1639.1267604</v>
      </c>
      <c r="HC12" s="6">
        <f t="shared" si="207"/>
        <v>-21.853909599999913</v>
      </c>
      <c r="HE12" s="5">
        <v>46063</v>
      </c>
      <c r="HF12" s="6">
        <v>616557.1</v>
      </c>
      <c r="HG12" s="6">
        <f t="shared" si="102"/>
        <v>1674.0249349658236</v>
      </c>
      <c r="HH12" s="6">
        <v>615369</v>
      </c>
      <c r="HI12" s="6">
        <f t="shared" si="103"/>
        <v>1670.7991039353599</v>
      </c>
      <c r="HJ12" s="6">
        <f t="shared" si="104"/>
        <v>3344.8240389011835</v>
      </c>
      <c r="HK12" s="6"/>
      <c r="HL12" s="6">
        <f t="shared" si="105"/>
        <v>1188.0999999999767</v>
      </c>
      <c r="HM12" s="6">
        <f t="shared" si="106"/>
        <v>3.2258310304639362</v>
      </c>
      <c r="HN12" s="6">
        <v>485.24680000000001</v>
      </c>
      <c r="HO12" s="6">
        <f t="shared" si="107"/>
        <v>1571.2291384</v>
      </c>
      <c r="HP12" s="6">
        <v>506.2158</v>
      </c>
      <c r="HQ12" s="6">
        <f t="shared" si="108"/>
        <v>1639.1267604</v>
      </c>
      <c r="HR12" s="6">
        <f t="shared" si="109"/>
        <v>-67.897621999999984</v>
      </c>
      <c r="HT12" s="5">
        <v>46063</v>
      </c>
      <c r="HU12" s="6">
        <v>601574.1</v>
      </c>
      <c r="HV12" s="6">
        <f t="shared" si="110"/>
        <v>1633.3443303623037</v>
      </c>
      <c r="HW12" s="6">
        <v>621467.19999999995</v>
      </c>
      <c r="HX12" s="6">
        <f t="shared" si="111"/>
        <v>1687.3564331079676</v>
      </c>
      <c r="HY12" s="6">
        <f t="shared" si="112"/>
        <v>3320.7007634702713</v>
      </c>
      <c r="HZ12" s="6"/>
      <c r="IA12" s="6">
        <f t="shared" si="113"/>
        <v>-19893.099999999977</v>
      </c>
      <c r="IB12" s="6">
        <f t="shared" si="114"/>
        <v>-54.012102745663931</v>
      </c>
      <c r="IC12" s="6">
        <v>2.6400489999999999</v>
      </c>
      <c r="ID12" s="6">
        <f t="shared" si="115"/>
        <v>1619.4324570899998</v>
      </c>
      <c r="IE12" s="6">
        <v>2.6614610000000001</v>
      </c>
      <c r="IF12" s="6">
        <f t="shared" si="116"/>
        <v>1632.56679201</v>
      </c>
      <c r="IG12" s="6">
        <f t="shared" si="117"/>
        <v>-13.134334920000127</v>
      </c>
      <c r="II12" s="5">
        <v>46063</v>
      </c>
      <c r="IJ12" s="6">
        <v>607788.1</v>
      </c>
      <c r="IK12" s="6">
        <f t="shared" si="118"/>
        <v>1650.2160701344637</v>
      </c>
      <c r="IL12" s="6">
        <v>624135.9</v>
      </c>
      <c r="IM12" s="6">
        <f t="shared" si="119"/>
        <v>1694.6022670200957</v>
      </c>
      <c r="IN12" s="6">
        <f t="shared" si="120"/>
        <v>3344.8183371545592</v>
      </c>
      <c r="IO12" s="6"/>
      <c r="IP12" s="6">
        <f t="shared" si="121"/>
        <v>-16347.800000000047</v>
      </c>
      <c r="IQ12" s="6">
        <f t="shared" si="122"/>
        <v>-44.386196885632117</v>
      </c>
      <c r="IR12" s="6">
        <v>2.6511279999999999</v>
      </c>
      <c r="IS12" s="6">
        <f t="shared" si="123"/>
        <v>1626.2284264799998</v>
      </c>
      <c r="IT12" s="6">
        <v>2.6880449999999998</v>
      </c>
      <c r="IU12" s="6">
        <f t="shared" si="124"/>
        <v>1648.8736834499998</v>
      </c>
      <c r="IV12" s="6">
        <f t="shared" si="125"/>
        <v>-22.645256969999917</v>
      </c>
      <c r="IX12" s="5">
        <v>46063</v>
      </c>
      <c r="IY12" s="6">
        <v>746432.7</v>
      </c>
      <c r="IZ12" s="6">
        <f t="shared" si="126"/>
        <v>2026.6524415562874</v>
      </c>
      <c r="JA12" s="6">
        <v>818729.7</v>
      </c>
      <c r="JB12" s="6">
        <f t="shared" si="127"/>
        <v>2222.9472871159678</v>
      </c>
      <c r="JC12" s="6">
        <f t="shared" si="128"/>
        <v>4249.599728672255</v>
      </c>
      <c r="JD12" s="6"/>
      <c r="JE12" s="6">
        <f t="shared" si="129"/>
        <v>-72297</v>
      </c>
      <c r="JF12" s="6">
        <f t="shared" si="130"/>
        <v>-196.29484555967997</v>
      </c>
      <c r="JG12" s="6">
        <v>15.93605</v>
      </c>
      <c r="JH12" s="6">
        <f t="shared" si="131"/>
        <v>2120.6101734999997</v>
      </c>
      <c r="JI12" s="6">
        <v>14.81179</v>
      </c>
      <c r="JJ12" s="6">
        <f t="shared" si="132"/>
        <v>1971.0048952999998</v>
      </c>
      <c r="JK12" s="6">
        <f t="shared" si="133"/>
        <v>149.60527819999993</v>
      </c>
      <c r="JM12" s="5">
        <v>46063</v>
      </c>
      <c r="JN12" s="6">
        <v>749877.8</v>
      </c>
      <c r="JO12" s="6">
        <f t="shared" si="134"/>
        <v>2036.0062926488317</v>
      </c>
      <c r="JP12" s="6">
        <v>819712.6</v>
      </c>
      <c r="JQ12" s="6">
        <f t="shared" si="135"/>
        <v>2225.6159760477435</v>
      </c>
      <c r="JR12" s="6">
        <f t="shared" si="136"/>
        <v>4261.6222686965757</v>
      </c>
      <c r="JS12" s="6"/>
      <c r="JT12" s="6">
        <f t="shared" si="137"/>
        <v>-69834.79999999993</v>
      </c>
      <c r="JU12" s="6">
        <f t="shared" si="138"/>
        <v>-189.60968339891178</v>
      </c>
      <c r="JV12" s="6">
        <v>15.95382</v>
      </c>
      <c r="JW12" s="6">
        <f t="shared" si="139"/>
        <v>2122.9748273999999</v>
      </c>
      <c r="JX12" s="6">
        <v>14.88433</v>
      </c>
      <c r="JY12" s="6">
        <f t="shared" si="140"/>
        <v>1980.6577930999999</v>
      </c>
      <c r="JZ12" s="6">
        <f t="shared" si="141"/>
        <v>142.31703429999999</v>
      </c>
      <c r="KB12" s="5">
        <v>46063</v>
      </c>
      <c r="KC12" s="6">
        <v>785694.86756469402</v>
      </c>
      <c r="KD12" s="6">
        <f t="shared" si="142"/>
        <v>2133.2538374433907</v>
      </c>
      <c r="KE12" s="6">
        <v>820287.64928943897</v>
      </c>
      <c r="KF12" s="6">
        <f t="shared" si="143"/>
        <v>2227.1773024023591</v>
      </c>
      <c r="KG12" s="6">
        <f t="shared" si="144"/>
        <v>4360.4311398457503</v>
      </c>
      <c r="KH12" s="6"/>
      <c r="KI12" s="6">
        <f t="shared" si="145"/>
        <v>-34592.781724744942</v>
      </c>
      <c r="KJ12" s="6">
        <f t="shared" si="146"/>
        <v>-93.923464958968253</v>
      </c>
      <c r="KK12" s="6">
        <v>3.140168267</v>
      </c>
      <c r="KL12" s="6">
        <f t="shared" si="147"/>
        <v>2188.41466695497</v>
      </c>
      <c r="KM12" s="6">
        <v>3.0643130030000001</v>
      </c>
      <c r="KN12" s="6">
        <f t="shared" si="148"/>
        <v>2135.5503749207301</v>
      </c>
      <c r="KO12" s="6">
        <f t="shared" si="149"/>
        <v>52.864292034239902</v>
      </c>
      <c r="KQ12" s="5">
        <v>46063</v>
      </c>
      <c r="KR12" s="6">
        <v>762329.60179673904</v>
      </c>
      <c r="KS12" s="6">
        <f t="shared" si="150"/>
        <v>2069.8143968665813</v>
      </c>
      <c r="KT12" s="6">
        <v>811181.43209679797</v>
      </c>
      <c r="KU12" s="6">
        <f t="shared" si="151"/>
        <v>2202.4528532901918</v>
      </c>
      <c r="KV12" s="6">
        <f t="shared" si="152"/>
        <v>4272.2672501567731</v>
      </c>
      <c r="KW12" s="6"/>
      <c r="KX12" s="6">
        <f t="shared" si="153"/>
        <v>-48851.830300058937</v>
      </c>
      <c r="KY12" s="6">
        <f t="shared" si="154"/>
        <v>-132.63845642361042</v>
      </c>
      <c r="KZ12" s="6">
        <v>3.1053798700000002</v>
      </c>
      <c r="LA12" s="6">
        <f t="shared" si="155"/>
        <v>2164.1702852017002</v>
      </c>
      <c r="LB12" s="6">
        <v>2.97149909</v>
      </c>
      <c r="LC12" s="6">
        <f t="shared" si="156"/>
        <v>2070.8674308118998</v>
      </c>
      <c r="LD12" s="6">
        <f t="shared" si="157"/>
        <v>93.302854389800089</v>
      </c>
      <c r="LF12" s="5">
        <v>46063</v>
      </c>
      <c r="LG12" s="6">
        <v>794970.75038559805</v>
      </c>
      <c r="LH12" s="6">
        <f t="shared" si="158"/>
        <v>2158.4389486618238</v>
      </c>
      <c r="LI12" s="6">
        <v>759919.087216874</v>
      </c>
      <c r="LJ12" s="6">
        <f t="shared" si="159"/>
        <v>2063.2695666914151</v>
      </c>
      <c r="LK12" s="6">
        <f t="shared" si="160"/>
        <v>4221.7085153532389</v>
      </c>
      <c r="LL12" s="6"/>
      <c r="LM12" s="6">
        <f t="shared" si="161"/>
        <v>35051.663168724044</v>
      </c>
      <c r="LN12" s="6">
        <f t="shared" si="162"/>
        <v>95.169381970408296</v>
      </c>
      <c r="LO12" s="6">
        <v>33.314150580000003</v>
      </c>
      <c r="LP12" s="6">
        <f t="shared" si="163"/>
        <v>1985.8565160738001</v>
      </c>
      <c r="LQ12" s="6">
        <v>35.60172815</v>
      </c>
      <c r="LR12" s="6">
        <f t="shared" si="164"/>
        <v>2122.2190150215001</v>
      </c>
      <c r="LS12" s="6">
        <f t="shared" si="165"/>
        <v>-136.36249894769978</v>
      </c>
      <c r="LU12" s="5">
        <v>46063</v>
      </c>
      <c r="LV12" s="6">
        <v>818786.89332223404</v>
      </c>
      <c r="LW12" s="6">
        <f t="shared" si="166"/>
        <v>2223.1025737026171</v>
      </c>
      <c r="LX12" s="6">
        <v>760998.98905114899</v>
      </c>
      <c r="LY12" s="6">
        <f t="shared" si="167"/>
        <v>2066.2016269951432</v>
      </c>
      <c r="LZ12" s="6">
        <f t="shared" si="168"/>
        <v>4289.3042006977603</v>
      </c>
      <c r="MA12" s="6"/>
      <c r="MB12" s="6">
        <f t="shared" si="169"/>
        <v>57787.904271085048</v>
      </c>
      <c r="MC12" s="6">
        <f t="shared" si="170"/>
        <v>156.90094670747348</v>
      </c>
      <c r="MD12" s="6">
        <v>33.342485220000007</v>
      </c>
      <c r="ME12" s="6">
        <f t="shared" si="171"/>
        <v>1987.5455439642005</v>
      </c>
      <c r="MF12" s="6">
        <v>36.697512750000001</v>
      </c>
      <c r="MG12" s="6">
        <f t="shared" si="172"/>
        <v>2187.5387350275</v>
      </c>
      <c r="MH12" s="6">
        <f t="shared" si="173"/>
        <v>-199.99319106329963</v>
      </c>
      <c r="MJ12" s="5">
        <v>46063</v>
      </c>
      <c r="MK12" s="6">
        <v>763788.6</v>
      </c>
      <c r="ML12" s="6">
        <f t="shared" si="174"/>
        <v>2073.7757483331839</v>
      </c>
      <c r="MM12" s="6">
        <v>833357.2</v>
      </c>
      <c r="MN12" s="6">
        <f t="shared" si="175"/>
        <v>2262.6626674695676</v>
      </c>
      <c r="MO12" s="6">
        <f t="shared" si="176"/>
        <v>4336.4384158027515</v>
      </c>
      <c r="MP12" s="6"/>
      <c r="MQ12" s="6">
        <f t="shared" si="177"/>
        <v>-69568.599999999977</v>
      </c>
      <c r="MR12" s="6">
        <f t="shared" si="178"/>
        <v>-188.88691913638394</v>
      </c>
      <c r="MS12" s="6">
        <v>6.7984660000000003</v>
      </c>
      <c r="MT12" s="6">
        <f t="shared" si="179"/>
        <v>2168.8466233200002</v>
      </c>
      <c r="MU12" s="6">
        <v>6.3511439999999997</v>
      </c>
      <c r="MV12" s="6">
        <f t="shared" si="180"/>
        <v>2026.1419588799997</v>
      </c>
      <c r="MW12" s="6">
        <f t="shared" si="181"/>
        <v>142.70466444000022</v>
      </c>
      <c r="MY12" s="5">
        <v>46063</v>
      </c>
      <c r="MZ12" s="6">
        <v>762599.5</v>
      </c>
      <c r="NA12" s="6">
        <f t="shared" si="182"/>
        <v>2070.5472021852797</v>
      </c>
      <c r="NB12" s="6">
        <v>828151.3</v>
      </c>
      <c r="NC12" s="6">
        <f t="shared" si="183"/>
        <v>2248.5280375886719</v>
      </c>
      <c r="ND12" s="6">
        <f t="shared" si="184"/>
        <v>4319.0752397739516</v>
      </c>
      <c r="NE12" s="6"/>
      <c r="NF12" s="6">
        <f t="shared" si="185"/>
        <v>-65551.800000000047</v>
      </c>
      <c r="NG12" s="6">
        <f t="shared" si="186"/>
        <v>-177.98083540339212</v>
      </c>
      <c r="NH12" s="6">
        <v>6.7544300000000002</v>
      </c>
      <c r="NI12" s="6">
        <f t="shared" si="187"/>
        <v>2154.7982585999998</v>
      </c>
      <c r="NJ12" s="6">
        <v>6.3401079999999999</v>
      </c>
      <c r="NK12" s="6">
        <f t="shared" si="188"/>
        <v>2022.6212541599998</v>
      </c>
      <c r="NL12" s="6">
        <f t="shared" si="189"/>
        <v>132.17700444000008</v>
      </c>
      <c r="NN12" s="5">
        <v>46063</v>
      </c>
      <c r="NO12" s="6">
        <v>797198.5</v>
      </c>
      <c r="NP12" s="6">
        <f t="shared" si="190"/>
        <v>2164.48755049184</v>
      </c>
      <c r="NQ12" s="6">
        <v>743518.1</v>
      </c>
      <c r="NR12" s="6">
        <f t="shared" si="191"/>
        <v>2018.7389602656638</v>
      </c>
      <c r="NS12" s="6">
        <f t="shared" si="192"/>
        <v>4183.226510757504</v>
      </c>
      <c r="NT12" s="6"/>
      <c r="NU12" s="6">
        <f t="shared" si="193"/>
        <v>53680.400000000023</v>
      </c>
      <c r="NV12" s="6">
        <f t="shared" si="194"/>
        <v>145.74859022617605</v>
      </c>
      <c r="NW12" s="6">
        <v>310920.3</v>
      </c>
      <c r="NX12" s="6">
        <f t="shared" si="195"/>
        <v>1909.0506419999999</v>
      </c>
      <c r="NY12" s="6">
        <v>346629.3</v>
      </c>
      <c r="NZ12" s="6">
        <f t="shared" si="196"/>
        <v>2128.3039019999997</v>
      </c>
      <c r="OA12" s="6">
        <f t="shared" si="197"/>
        <v>-219.25325999999998</v>
      </c>
      <c r="OC12" s="5">
        <v>46063</v>
      </c>
      <c r="OD12" s="6">
        <v>798803.7</v>
      </c>
      <c r="OE12" s="6">
        <f t="shared" si="198"/>
        <v>2168.8458570065277</v>
      </c>
      <c r="OF12" s="6">
        <v>765792.5</v>
      </c>
      <c r="OG12" s="6">
        <f t="shared" si="199"/>
        <v>2079.2165721711999</v>
      </c>
      <c r="OH12" s="6">
        <f t="shared" si="200"/>
        <v>4248.0624291777276</v>
      </c>
      <c r="OI12" s="6"/>
      <c r="OJ12" s="6">
        <f t="shared" si="201"/>
        <v>33011.199999999953</v>
      </c>
      <c r="OK12" s="6">
        <f t="shared" si="202"/>
        <v>89.629284835327866</v>
      </c>
      <c r="OL12" s="6">
        <v>320086.2</v>
      </c>
      <c r="OM12" s="6">
        <f t="shared" si="203"/>
        <v>1965.329268</v>
      </c>
      <c r="ON12" s="6">
        <v>347332.5</v>
      </c>
      <c r="OO12" s="6">
        <f t="shared" si="204"/>
        <v>2132.6215499999998</v>
      </c>
      <c r="OP12" s="6">
        <f t="shared" si="205"/>
        <v>-167.29228199999991</v>
      </c>
    </row>
    <row r="13" spans="1:406" x14ac:dyDescent="0.2">
      <c r="A13" s="5">
        <v>46064</v>
      </c>
      <c r="B13" s="10">
        <v>166.48</v>
      </c>
      <c r="C13" s="6">
        <v>78.23</v>
      </c>
      <c r="D13" s="6">
        <v>189.15</v>
      </c>
      <c r="E13" s="6">
        <v>464.47</v>
      </c>
      <c r="F13" s="6">
        <v>427.27</v>
      </c>
      <c r="G13" s="2">
        <v>1.8400000000000001E-3</v>
      </c>
      <c r="H13" s="6">
        <v>3.218</v>
      </c>
      <c r="I13" s="6">
        <v>612.59</v>
      </c>
      <c r="J13" s="6">
        <v>125.89</v>
      </c>
      <c r="K13" s="6">
        <v>695.87</v>
      </c>
      <c r="L13" s="6">
        <v>58.72</v>
      </c>
      <c r="M13" s="6">
        <v>311.97000000000003</v>
      </c>
      <c r="N13" s="6">
        <v>6.0299999999999998E-3</v>
      </c>
      <c r="O13" s="6">
        <v>82.984999999999999</v>
      </c>
      <c r="P13" s="7">
        <v>3.1050000000000003E-5</v>
      </c>
      <c r="R13" s="5">
        <v>46064</v>
      </c>
      <c r="S13" s="6">
        <v>857383.23794715619</v>
      </c>
      <c r="T13" s="6">
        <f t="shared" si="0"/>
        <v>2209.20588543244</v>
      </c>
      <c r="U13" s="6">
        <v>804569.00875988801</v>
      </c>
      <c r="V13" s="6">
        <f t="shared" si="1"/>
        <v>2073.1202929097158</v>
      </c>
      <c r="W13" s="6">
        <f t="shared" si="2"/>
        <v>4282.3261783421558</v>
      </c>
      <c r="X13" s="6"/>
      <c r="Y13" s="6">
        <f t="shared" si="3"/>
        <v>52814.229187268182</v>
      </c>
      <c r="Z13" s="6">
        <f t="shared" si="4"/>
        <v>136.08559252272423</v>
      </c>
      <c r="AA13" s="6">
        <v>12.937610299999999</v>
      </c>
      <c r="AB13" s="6">
        <f t="shared" si="5"/>
        <v>2153.8533627439997</v>
      </c>
      <c r="AC13" s="6">
        <v>14.05619789</v>
      </c>
      <c r="AD13" s="6">
        <f t="shared" si="6"/>
        <v>2340.0758247271997</v>
      </c>
      <c r="AE13" s="6">
        <f t="shared" si="7"/>
        <v>-186.22246198320011</v>
      </c>
      <c r="AG13" s="5">
        <v>46064</v>
      </c>
      <c r="AH13" s="6">
        <v>835881.42650710884</v>
      </c>
      <c r="AI13" s="6">
        <f t="shared" si="8"/>
        <v>2153.8025065483998</v>
      </c>
      <c r="AJ13" s="6">
        <v>800774.08137546317</v>
      </c>
      <c r="AK13" s="6">
        <f t="shared" si="9"/>
        <v>2063.3419632883742</v>
      </c>
      <c r="AL13" s="6">
        <f t="shared" si="10"/>
        <v>4217.1444698367741</v>
      </c>
      <c r="AM13" s="6"/>
      <c r="AN13" s="6">
        <f t="shared" si="11"/>
        <v>35107.345131645678</v>
      </c>
      <c r="AO13" s="6">
        <f t="shared" si="12"/>
        <v>90.460543260025602</v>
      </c>
      <c r="AP13" s="6">
        <v>12.88253214</v>
      </c>
      <c r="AQ13" s="6">
        <f t="shared" si="13"/>
        <v>2144.6839506672</v>
      </c>
      <c r="AR13" s="6">
        <v>13.71364472</v>
      </c>
      <c r="AS13" s="6">
        <f t="shared" si="14"/>
        <v>2283.0475729855998</v>
      </c>
      <c r="AT13" s="6">
        <f t="shared" si="15"/>
        <v>-138.36362231839985</v>
      </c>
      <c r="AV13" s="5">
        <v>46064</v>
      </c>
      <c r="AW13" s="6">
        <v>758737.15656603896</v>
      </c>
      <c r="AX13" s="6">
        <f t="shared" si="16"/>
        <v>1955.026081213497</v>
      </c>
      <c r="AY13" s="6">
        <v>772683.91697696201</v>
      </c>
      <c r="AZ13" s="6">
        <f t="shared" si="17"/>
        <v>1990.9624791028457</v>
      </c>
      <c r="BA13" s="6">
        <f t="shared" si="18"/>
        <v>3945.988560316343</v>
      </c>
      <c r="BB13" s="6"/>
      <c r="BC13" s="6">
        <f t="shared" si="206"/>
        <v>-13946.760410923045</v>
      </c>
      <c r="BD13" s="6">
        <f t="shared" si="19"/>
        <v>-35.936397889348939</v>
      </c>
      <c r="BE13" s="6">
        <v>24.938966839999999</v>
      </c>
      <c r="BF13" s="6">
        <f t="shared" si="20"/>
        <v>1950.9753758932</v>
      </c>
      <c r="BG13" s="6">
        <v>24.94577967</v>
      </c>
      <c r="BH13" s="6">
        <f t="shared" si="21"/>
        <v>1951.5083435841002</v>
      </c>
      <c r="BI13" s="6">
        <f t="shared" si="22"/>
        <v>-0.53296769090009488</v>
      </c>
      <c r="BK13" s="5">
        <v>46064</v>
      </c>
      <c r="BL13" s="6">
        <v>779387.47337129805</v>
      </c>
      <c r="BM13" s="6">
        <f>BL13*P13*O13</f>
        <v>2008.2354272831183</v>
      </c>
      <c r="BN13" s="6">
        <v>796284.24291005009</v>
      </c>
      <c r="BO13" s="6">
        <f>BN13*P13*O13</f>
        <v>2051.7730672295006</v>
      </c>
      <c r="BP13" s="6">
        <f>BM13+BO13</f>
        <v>4060.0084945126191</v>
      </c>
      <c r="BQ13" s="6"/>
      <c r="BR13" s="6">
        <f>BL13-BN13</f>
        <v>-16896.769538752036</v>
      </c>
      <c r="BS13" s="6">
        <f>BR13*P13*O13</f>
        <v>-43.537639946382143</v>
      </c>
      <c r="BT13" s="6">
        <v>25.687472469999999</v>
      </c>
      <c r="BU13" s="6">
        <f t="shared" si="28"/>
        <v>2009.5309713281001</v>
      </c>
      <c r="BV13" s="6">
        <v>25.62466757</v>
      </c>
      <c r="BW13" s="6">
        <f t="shared" si="29"/>
        <v>2004.6177440011002</v>
      </c>
      <c r="BX13" s="6">
        <f t="shared" si="30"/>
        <v>4.9132273269999782</v>
      </c>
      <c r="BZ13" s="5">
        <v>46064</v>
      </c>
      <c r="CA13" s="6">
        <v>768595.82752555306</v>
      </c>
      <c r="CB13" s="6">
        <f t="shared" si="31"/>
        <v>1980.4287634008092</v>
      </c>
      <c r="CC13" s="6">
        <v>754675.63971262495</v>
      </c>
      <c r="CD13" s="6">
        <f t="shared" si="32"/>
        <v>1944.5608347061952</v>
      </c>
      <c r="CE13" s="6">
        <f t="shared" si="33"/>
        <v>3924.9895981070044</v>
      </c>
      <c r="CF13" s="6"/>
      <c r="CG13" s="6">
        <f t="shared" si="34"/>
        <v>13920.18781292811</v>
      </c>
      <c r="CH13" s="6">
        <f t="shared" si="35"/>
        <v>35.867928694613809</v>
      </c>
      <c r="CI13" s="6">
        <v>10.106041790000001</v>
      </c>
      <c r="CJ13" s="6">
        <f t="shared" si="36"/>
        <v>1911.5578045785003</v>
      </c>
      <c r="CK13" s="6">
        <v>10.4954831</v>
      </c>
      <c r="CL13" s="6">
        <f t="shared" si="37"/>
        <v>1985.220628365</v>
      </c>
      <c r="CM13" s="6">
        <f t="shared" si="38"/>
        <v>-73.662823786499757</v>
      </c>
      <c r="CO13" s="5">
        <v>46064</v>
      </c>
      <c r="CP13" s="6">
        <v>772755.37304465706</v>
      </c>
      <c r="CQ13" s="6">
        <f t="shared" si="39"/>
        <v>1991.1465988270427</v>
      </c>
      <c r="CR13" s="6">
        <v>792469.70156387007</v>
      </c>
      <c r="CS13" s="6">
        <f t="shared" si="40"/>
        <v>2041.9441986218244</v>
      </c>
      <c r="CT13" s="6">
        <f t="shared" si="41"/>
        <v>4033.0907974488673</v>
      </c>
      <c r="CU13" s="6"/>
      <c r="CV13" s="6">
        <f t="shared" si="42"/>
        <v>-19714.328519213013</v>
      </c>
      <c r="CW13" s="6">
        <f t="shared" si="43"/>
        <v>-50.797599794782002</v>
      </c>
      <c r="CX13" s="6">
        <v>10.61210348</v>
      </c>
      <c r="CY13" s="6">
        <f t="shared" si="44"/>
        <v>2007.279373242</v>
      </c>
      <c r="CZ13" s="6">
        <v>10.556848649999999</v>
      </c>
      <c r="DA13" s="6">
        <f t="shared" si="45"/>
        <v>1996.8279221475</v>
      </c>
      <c r="DB13" s="6">
        <f t="shared" si="46"/>
        <v>10.451451094500165</v>
      </c>
      <c r="DD13" s="5">
        <v>46064</v>
      </c>
      <c r="DE13" s="6">
        <v>852822.67254852992</v>
      </c>
      <c r="DF13" s="6">
        <f t="shared" si="47"/>
        <v>2197.4547483987044</v>
      </c>
      <c r="DG13" s="6">
        <v>797616.6670761439</v>
      </c>
      <c r="DH13" s="6">
        <f t="shared" si="48"/>
        <v>2055.2063035925939</v>
      </c>
      <c r="DI13" s="6">
        <f t="shared" si="49"/>
        <v>4252.6610519912983</v>
      </c>
      <c r="DJ13" s="6"/>
      <c r="DK13" s="6">
        <f t="shared" si="50"/>
        <v>55206.005472386023</v>
      </c>
      <c r="DL13" s="6">
        <f t="shared" si="51"/>
        <v>142.24844480611088</v>
      </c>
      <c r="DM13" s="6">
        <v>4.3672179199999999</v>
      </c>
      <c r="DN13" s="6">
        <f t="shared" si="52"/>
        <v>2028.4417073024001</v>
      </c>
      <c r="DO13" s="6">
        <v>4.7636139999999996</v>
      </c>
      <c r="DP13" s="6">
        <f t="shared" si="53"/>
        <v>2212.5557945800001</v>
      </c>
      <c r="DQ13" s="6">
        <f t="shared" si="54"/>
        <v>-184.11408727759988</v>
      </c>
      <c r="DS13" s="5">
        <v>46064</v>
      </c>
      <c r="DT13" s="6">
        <v>832321.83723413292</v>
      </c>
      <c r="DU13" s="6">
        <f t="shared" si="55"/>
        <v>2144.6305689322539</v>
      </c>
      <c r="DV13" s="6">
        <v>806762.29839294613</v>
      </c>
      <c r="DW13" s="6">
        <f t="shared" si="56"/>
        <v>2078.7717077629045</v>
      </c>
      <c r="DX13" s="6">
        <f t="shared" si="57"/>
        <v>4223.4022766951584</v>
      </c>
      <c r="DY13" s="6"/>
      <c r="DZ13" s="6">
        <f t="shared" si="58"/>
        <v>25559.53884118679</v>
      </c>
      <c r="EA13" s="6">
        <f t="shared" si="59"/>
        <v>65.858861169349254</v>
      </c>
      <c r="EB13" s="6">
        <v>4.4162978400000004</v>
      </c>
      <c r="EC13" s="6">
        <f t="shared" si="60"/>
        <v>2051.2378577448003</v>
      </c>
      <c r="ED13" s="6">
        <v>4.6468424500000003</v>
      </c>
      <c r="EE13" s="6">
        <f t="shared" si="61"/>
        <v>2158.3189127515002</v>
      </c>
      <c r="EF13" s="6">
        <f t="shared" si="62"/>
        <v>-107.08105500669997</v>
      </c>
      <c r="EH13" s="5">
        <v>46064</v>
      </c>
      <c r="EI13" s="6">
        <v>2313959</v>
      </c>
      <c r="EJ13" s="6">
        <f t="shared" si="63"/>
        <v>5962.3417104457503</v>
      </c>
      <c r="EK13" s="6">
        <v>2334121</v>
      </c>
      <c r="EL13" s="6">
        <f t="shared" si="64"/>
        <v>6014.2928182942505</v>
      </c>
      <c r="EM13" s="6">
        <f t="shared" si="65"/>
        <v>11976.63452874</v>
      </c>
      <c r="EN13" s="6"/>
      <c r="EO13" s="6">
        <f t="shared" si="66"/>
        <v>-20162</v>
      </c>
      <c r="EP13" s="6">
        <f t="shared" si="67"/>
        <v>-51.951107848500001</v>
      </c>
      <c r="EQ13" s="6">
        <v>13.9963</v>
      </c>
      <c r="ER13" s="6">
        <f t="shared" si="68"/>
        <v>5980.1991009999992</v>
      </c>
      <c r="ES13" s="6">
        <v>13.936780000000001</v>
      </c>
      <c r="ET13" s="6">
        <f t="shared" si="69"/>
        <v>5954.7679906000003</v>
      </c>
      <c r="EU13" s="6">
        <f t="shared" si="70"/>
        <v>25.431110399999628</v>
      </c>
      <c r="EW13" s="5">
        <v>46064</v>
      </c>
      <c r="EX13" s="6">
        <v>2272911</v>
      </c>
      <c r="EY13" s="6">
        <f t="shared" si="71"/>
        <v>5856.573975351751</v>
      </c>
      <c r="EZ13" s="6">
        <v>2285667</v>
      </c>
      <c r="FA13" s="6">
        <f t="shared" si="72"/>
        <v>5889.442159644751</v>
      </c>
      <c r="FB13" s="6">
        <f t="shared" si="73"/>
        <v>11746.016134996502</v>
      </c>
      <c r="FC13" s="6"/>
      <c r="FD13" s="6">
        <f t="shared" si="74"/>
        <v>-12756</v>
      </c>
      <c r="FE13" s="6">
        <f t="shared" si="75"/>
        <v>-32.868184293000006</v>
      </c>
      <c r="FF13" s="6">
        <v>13.68479</v>
      </c>
      <c r="FG13" s="6">
        <f t="shared" si="76"/>
        <v>5847.1002232999999</v>
      </c>
      <c r="FH13" s="6">
        <v>13.700799999999999</v>
      </c>
      <c r="FI13" s="6">
        <f t="shared" si="77"/>
        <v>5853.9408159999994</v>
      </c>
      <c r="FJ13" s="6">
        <f t="shared" si="78"/>
        <v>-6.8405926999998439</v>
      </c>
      <c r="FL13" s="5">
        <v>46064</v>
      </c>
      <c r="FM13" s="6">
        <v>600006.69999999995</v>
      </c>
      <c r="FN13" s="6">
        <f t="shared" si="79"/>
        <v>1546.0278137844748</v>
      </c>
      <c r="FO13" s="6">
        <v>612644.6</v>
      </c>
      <c r="FP13" s="6">
        <f t="shared" si="80"/>
        <v>1578.5916916675501</v>
      </c>
      <c r="FQ13" s="6">
        <f t="shared" si="81"/>
        <v>3124.6195054520249</v>
      </c>
      <c r="FR13" s="6"/>
      <c r="FS13" s="6">
        <f t="shared" si="82"/>
        <v>-12637.900000000023</v>
      </c>
      <c r="FT13" s="6">
        <f t="shared" si="83"/>
        <v>-32.563877883075065</v>
      </c>
      <c r="FU13" s="6">
        <v>814371.5</v>
      </c>
      <c r="FV13" s="6">
        <f t="shared" si="84"/>
        <v>1498.4435599999999</v>
      </c>
      <c r="FW13" s="6">
        <v>830889</v>
      </c>
      <c r="FX13" s="6">
        <f t="shared" si="85"/>
        <v>1528.8357599999999</v>
      </c>
      <c r="FY13" s="6">
        <f t="shared" si="86"/>
        <v>-30.392200000000003</v>
      </c>
      <c r="GA13" s="5">
        <v>46064</v>
      </c>
      <c r="GB13" s="6">
        <v>595684</v>
      </c>
      <c r="GC13" s="6">
        <f t="shared" si="87"/>
        <v>1534.8895807770002</v>
      </c>
      <c r="GD13" s="6">
        <v>616470.5</v>
      </c>
      <c r="GE13" s="6">
        <f t="shared" si="88"/>
        <v>1588.449827939625</v>
      </c>
      <c r="GF13" s="6">
        <f t="shared" si="89"/>
        <v>3123.3394087166253</v>
      </c>
      <c r="GG13" s="6"/>
      <c r="GH13" s="6">
        <f t="shared" si="90"/>
        <v>-20786.5</v>
      </c>
      <c r="GI13" s="6">
        <f t="shared" si="91"/>
        <v>-53.560247162625004</v>
      </c>
      <c r="GJ13" s="6">
        <v>819560.3</v>
      </c>
      <c r="GK13" s="6">
        <f t="shared" si="92"/>
        <v>1507.9909520000001</v>
      </c>
      <c r="GL13" s="6">
        <v>824995.7</v>
      </c>
      <c r="GM13" s="6">
        <f t="shared" si="93"/>
        <v>1517.992088</v>
      </c>
      <c r="GN13" s="6">
        <f t="shared" si="94"/>
        <v>-10.001135999999828</v>
      </c>
      <c r="GP13" s="5">
        <v>46064</v>
      </c>
      <c r="GQ13" s="6">
        <v>599349.5</v>
      </c>
      <c r="GR13" s="6">
        <f t="shared" si="95"/>
        <v>1544.3344168953749</v>
      </c>
      <c r="GS13" s="6">
        <v>591067.69999999995</v>
      </c>
      <c r="GT13" s="6">
        <f>GS13*P13*O13</f>
        <v>1522.9948332737249</v>
      </c>
      <c r="GU13" s="6">
        <f t="shared" si="97"/>
        <v>3067.3292501690999</v>
      </c>
      <c r="GV13" s="6"/>
      <c r="GW13" s="6">
        <f t="shared" si="98"/>
        <v>8281.8000000000466</v>
      </c>
      <c r="GX13" s="6">
        <f t="shared" si="99"/>
        <v>21.339583621650124</v>
      </c>
      <c r="GY13" s="6">
        <v>463.03789999999998</v>
      </c>
      <c r="GZ13" s="6">
        <f t="shared" si="100"/>
        <v>1490.0559621999998</v>
      </c>
      <c r="HA13" s="6">
        <v>488.57889999999998</v>
      </c>
      <c r="HB13" s="6">
        <f t="shared" si="101"/>
        <v>1572.2469001999998</v>
      </c>
      <c r="HC13" s="6">
        <f t="shared" si="207"/>
        <v>-82.190937999999989</v>
      </c>
      <c r="HE13" s="5">
        <v>46064</v>
      </c>
      <c r="HF13" s="6">
        <v>608792.4</v>
      </c>
      <c r="HG13" s="6">
        <f t="shared" si="102"/>
        <v>1568.6657885997001</v>
      </c>
      <c r="HH13" s="6">
        <v>623041.19999999995</v>
      </c>
      <c r="HI13" s="6">
        <f t="shared" si="103"/>
        <v>1605.3804471410999</v>
      </c>
      <c r="HJ13" s="6">
        <f t="shared" si="104"/>
        <v>3174.0462357408001</v>
      </c>
      <c r="HK13" s="6"/>
      <c r="HL13" s="6">
        <f t="shared" si="105"/>
        <v>-14248.79999999993</v>
      </c>
      <c r="HM13" s="6">
        <f t="shared" si="106"/>
        <v>-36.714658541399821</v>
      </c>
      <c r="HN13" s="6">
        <v>487.91919999999999</v>
      </c>
      <c r="HO13" s="6">
        <f t="shared" si="107"/>
        <v>1570.1239856</v>
      </c>
      <c r="HP13" s="6">
        <v>496.37240000000003</v>
      </c>
      <c r="HQ13" s="6">
        <f t="shared" si="108"/>
        <v>1597.3263832</v>
      </c>
      <c r="HR13" s="6">
        <f t="shared" si="109"/>
        <v>-27.202397600000122</v>
      </c>
      <c r="HT13" s="5">
        <v>46064</v>
      </c>
      <c r="HU13" s="6">
        <v>581130.69999999995</v>
      </c>
      <c r="HV13" s="6">
        <f t="shared" si="110"/>
        <v>1497.3903218814748</v>
      </c>
      <c r="HW13" s="6">
        <v>589906.19999999995</v>
      </c>
      <c r="HX13" s="6">
        <f t="shared" si="111"/>
        <v>1520.0020145173501</v>
      </c>
      <c r="HY13" s="6">
        <f t="shared" si="112"/>
        <v>3017.3923363988251</v>
      </c>
      <c r="HZ13" s="6"/>
      <c r="IA13" s="6">
        <f t="shared" si="113"/>
        <v>-8775.5</v>
      </c>
      <c r="IB13" s="6">
        <f t="shared" si="114"/>
        <v>-22.611692635875002</v>
      </c>
      <c r="IC13" s="6">
        <v>2.4417749999999998</v>
      </c>
      <c r="ID13" s="6">
        <f>IC13*I13</f>
        <v>1495.8069472499999</v>
      </c>
      <c r="IE13" s="6">
        <v>2.5087869999999999</v>
      </c>
      <c r="IF13" s="6">
        <f t="shared" si="116"/>
        <v>1536.8578283300001</v>
      </c>
      <c r="IG13" s="6">
        <f t="shared" si="117"/>
        <v>-41.050881080000046</v>
      </c>
      <c r="II13" s="5">
        <v>46064</v>
      </c>
      <c r="IJ13" s="6">
        <v>570604.30000000005</v>
      </c>
      <c r="IK13" s="6">
        <f t="shared" si="118"/>
        <v>1470.2671127922752</v>
      </c>
      <c r="IL13" s="6">
        <v>599172.30000000005</v>
      </c>
      <c r="IM13" s="6">
        <f t="shared" si="119"/>
        <v>1543.8778284462751</v>
      </c>
      <c r="IN13" s="6">
        <f t="shared" si="120"/>
        <v>3014.14494123855</v>
      </c>
      <c r="IO13" s="6"/>
      <c r="IP13" s="6">
        <f t="shared" si="121"/>
        <v>-28568</v>
      </c>
      <c r="IQ13" s="6">
        <f t="shared" si="122"/>
        <v>-73.610715654000003</v>
      </c>
      <c r="IR13" s="6">
        <v>2.4802089999999999</v>
      </c>
      <c r="IS13" s="6">
        <f t="shared" si="123"/>
        <v>1519.35123131</v>
      </c>
      <c r="IT13" s="6">
        <v>2.462666</v>
      </c>
      <c r="IU13" s="6">
        <f t="shared" si="124"/>
        <v>1508.60456494</v>
      </c>
      <c r="IV13" s="6">
        <f t="shared" si="125"/>
        <v>10.746666369999918</v>
      </c>
      <c r="IX13" s="5">
        <v>46064</v>
      </c>
      <c r="IY13" s="6">
        <v>798649.9</v>
      </c>
      <c r="IZ13" s="6">
        <f t="shared" si="126"/>
        <v>2057.8686185940751</v>
      </c>
      <c r="JA13" s="6">
        <v>795034.8</v>
      </c>
      <c r="JB13" s="6">
        <f t="shared" si="127"/>
        <v>2048.5536473619004</v>
      </c>
      <c r="JC13" s="6">
        <f t="shared" si="128"/>
        <v>4106.4222659559755</v>
      </c>
      <c r="JD13" s="6"/>
      <c r="JE13" s="6">
        <f t="shared" si="129"/>
        <v>3615.0999999999767</v>
      </c>
      <c r="JF13" s="6">
        <f t="shared" si="130"/>
        <v>9.3149712321749405</v>
      </c>
      <c r="JG13" s="6">
        <v>15.463039999999999</v>
      </c>
      <c r="JH13" s="6">
        <f t="shared" si="131"/>
        <v>1946.6421055999999</v>
      </c>
      <c r="JI13" s="6">
        <v>15.827819999999999</v>
      </c>
      <c r="JJ13" s="6">
        <f>JI13*J13</f>
        <v>1992.5642597999999</v>
      </c>
      <c r="JK13" s="6">
        <f t="shared" si="133"/>
        <v>-45.922154199999959</v>
      </c>
      <c r="JM13" s="5">
        <v>46064</v>
      </c>
      <c r="JN13" s="6">
        <v>800601.9</v>
      </c>
      <c r="JO13" s="6">
        <f t="shared" si="134"/>
        <v>2062.8983062500752</v>
      </c>
      <c r="JP13" s="6">
        <v>795754.9</v>
      </c>
      <c r="JQ13" s="6">
        <f t="shared" si="135"/>
        <v>2050.4091176903253</v>
      </c>
      <c r="JR13" s="6">
        <f t="shared" si="136"/>
        <v>4113.3074239404004</v>
      </c>
      <c r="JS13" s="6"/>
      <c r="JT13" s="6">
        <f t="shared" si="137"/>
        <v>4847</v>
      </c>
      <c r="JU13" s="6">
        <f t="shared" si="138"/>
        <v>12.48918855975</v>
      </c>
      <c r="JV13" s="6">
        <v>15.47566</v>
      </c>
      <c r="JW13" s="6">
        <f t="shared" si="139"/>
        <v>1948.2308373999999</v>
      </c>
      <c r="JX13" s="6">
        <v>15.875780000000001</v>
      </c>
      <c r="JY13" s="6">
        <f t="shared" si="140"/>
        <v>1998.6019442000002</v>
      </c>
      <c r="JZ13" s="6">
        <f t="shared" si="141"/>
        <v>-50.371106800000142</v>
      </c>
      <c r="KB13" s="5">
        <v>46064</v>
      </c>
      <c r="KC13" s="6">
        <v>772059.49997761298</v>
      </c>
      <c r="KD13" s="6">
        <f t="shared" si="142"/>
        <v>1989.353553655191</v>
      </c>
      <c r="KE13" s="6">
        <v>789235.82003940002</v>
      </c>
      <c r="KF13" s="6">
        <f t="shared" si="143"/>
        <v>2033.6115070313567</v>
      </c>
      <c r="KG13" s="6">
        <f t="shared" si="144"/>
        <v>4022.965060686548</v>
      </c>
      <c r="KH13" s="6"/>
      <c r="KI13" s="6">
        <f t="shared" si="145"/>
        <v>-17176.320061787032</v>
      </c>
      <c r="KJ13" s="6">
        <f t="shared" si="146"/>
        <v>-44.257953376165673</v>
      </c>
      <c r="KK13" s="6">
        <v>2.890057777</v>
      </c>
      <c r="KL13" s="6">
        <f t="shared" si="147"/>
        <v>2011.10450528099</v>
      </c>
      <c r="KM13" s="6">
        <v>2.8878890300000002</v>
      </c>
      <c r="KN13" s="6">
        <f>KM13*K13</f>
        <v>2009.5953393061002</v>
      </c>
      <c r="KO13" s="6">
        <f t="shared" si="149"/>
        <v>1.5091659748898638</v>
      </c>
      <c r="KQ13" s="5">
        <v>46064</v>
      </c>
      <c r="KR13" s="6">
        <v>799688.30026911793</v>
      </c>
      <c r="KS13" s="6">
        <f t="shared" si="150"/>
        <v>2060.5442482127073</v>
      </c>
      <c r="KT13" s="6">
        <v>816203.28404367808</v>
      </c>
      <c r="KU13" s="6">
        <f t="shared" si="151"/>
        <v>2103.0981467936217</v>
      </c>
      <c r="KV13" s="6">
        <f t="shared" si="152"/>
        <v>4163.642395006329</v>
      </c>
      <c r="KW13" s="6"/>
      <c r="KX13" s="6">
        <f t="shared" si="153"/>
        <v>-16514.983774560154</v>
      </c>
      <c r="KY13" s="6">
        <f t="shared" si="154"/>
        <v>-42.553898580914705</v>
      </c>
      <c r="KZ13" s="6">
        <v>2.9884617549999999</v>
      </c>
      <c r="LA13" s="6">
        <f t="shared" si="155"/>
        <v>2079.58088145185</v>
      </c>
      <c r="LB13" s="6">
        <v>2.9915134320000001</v>
      </c>
      <c r="LC13" s="6">
        <f t="shared" si="156"/>
        <v>2081.7044519258402</v>
      </c>
      <c r="LD13" s="6">
        <f t="shared" si="157"/>
        <v>-2.1235704739901369</v>
      </c>
      <c r="LF13" s="5">
        <v>46064</v>
      </c>
      <c r="LG13" s="6">
        <v>803539.34474094096</v>
      </c>
      <c r="LH13" s="6">
        <f t="shared" si="158"/>
        <v>2070.467173849303</v>
      </c>
      <c r="LI13" s="6">
        <v>851461.12810923508</v>
      </c>
      <c r="LJ13" s="6">
        <f t="shared" si="159"/>
        <v>2193.9464782862983</v>
      </c>
      <c r="LK13" s="6">
        <f t="shared" si="160"/>
        <v>4264.4136521356013</v>
      </c>
      <c r="LL13" s="6"/>
      <c r="LM13" s="6">
        <f t="shared" si="161"/>
        <v>-47921.783368294127</v>
      </c>
      <c r="LN13" s="6">
        <f t="shared" si="162"/>
        <v>-123.47930443699545</v>
      </c>
      <c r="LO13" s="6">
        <v>36.855283980000003</v>
      </c>
      <c r="LP13" s="6">
        <f t="shared" si="163"/>
        <v>2164.1422753055999</v>
      </c>
      <c r="LQ13" s="6">
        <v>35.48913477</v>
      </c>
      <c r="LR13" s="6">
        <f t="shared" si="164"/>
        <v>2083.9219936944</v>
      </c>
      <c r="LS13" s="6">
        <f t="shared" si="165"/>
        <v>80.220281611200193</v>
      </c>
      <c r="LU13" s="5">
        <v>46064</v>
      </c>
      <c r="LV13" s="6">
        <v>778179.52647795505</v>
      </c>
      <c r="LW13" s="6">
        <f t="shared" si="166"/>
        <v>2005.1229295482049</v>
      </c>
      <c r="LX13" s="6">
        <v>839769.67371103493</v>
      </c>
      <c r="LY13" s="6">
        <f t="shared" si="167"/>
        <v>2163.8212918788627</v>
      </c>
      <c r="LZ13" s="6">
        <f t="shared" si="168"/>
        <v>4168.9442214270675</v>
      </c>
      <c r="MA13" s="6"/>
      <c r="MB13" s="6">
        <f t="shared" si="169"/>
        <v>-61590.147233079886</v>
      </c>
      <c r="MC13" s="6">
        <f t="shared" si="170"/>
        <v>-158.69836233065803</v>
      </c>
      <c r="MD13" s="6">
        <v>36.34186751</v>
      </c>
      <c r="ME13" s="6">
        <f t="shared" si="171"/>
        <v>2133.9944601871998</v>
      </c>
      <c r="MF13" s="6">
        <v>34.378068390000003</v>
      </c>
      <c r="MG13" s="6">
        <f t="shared" si="172"/>
        <v>2018.6801758608001</v>
      </c>
      <c r="MH13" s="6">
        <f t="shared" si="173"/>
        <v>115.31428432639984</v>
      </c>
      <c r="MJ13" s="5">
        <v>46064</v>
      </c>
      <c r="MK13" s="6">
        <v>785682.6</v>
      </c>
      <c r="ML13" s="6">
        <f t="shared" si="174"/>
        <v>2024.45598091905</v>
      </c>
      <c r="MM13" s="6">
        <v>800496.9</v>
      </c>
      <c r="MN13" s="6">
        <f t="shared" si="175"/>
        <v>2062.6277544038253</v>
      </c>
      <c r="MO13" s="6">
        <f t="shared" si="176"/>
        <v>4087.0837353228753</v>
      </c>
      <c r="MP13" s="6"/>
      <c r="MQ13" s="6">
        <f t="shared" si="177"/>
        <v>-14814.300000000047</v>
      </c>
      <c r="MR13" s="6">
        <f t="shared" si="178"/>
        <v>-38.171773484775123</v>
      </c>
      <c r="MS13" s="6">
        <v>6.3929039999999997</v>
      </c>
      <c r="MT13" s="6">
        <f t="shared" si="179"/>
        <v>1994.39426088</v>
      </c>
      <c r="MU13" s="6">
        <v>6.3993250000000002</v>
      </c>
      <c r="MV13" s="6">
        <f t="shared" si="180"/>
        <v>1996.3974202500003</v>
      </c>
      <c r="MW13" s="6">
        <f t="shared" si="181"/>
        <v>-2.0031593700001418</v>
      </c>
      <c r="MY13" s="5">
        <v>46064</v>
      </c>
      <c r="MZ13" s="6">
        <v>778990.6</v>
      </c>
      <c r="NA13" s="6">
        <f t="shared" si="182"/>
        <v>2007.2128099180502</v>
      </c>
      <c r="NB13" s="6">
        <v>789207.9</v>
      </c>
      <c r="NC13" s="6">
        <f t="shared" si="183"/>
        <v>2033.5395659055753</v>
      </c>
      <c r="ND13" s="6">
        <f t="shared" si="184"/>
        <v>4040.7523758236257</v>
      </c>
      <c r="NE13" s="6"/>
      <c r="NF13" s="6">
        <f t="shared" si="185"/>
        <v>-10217.300000000047</v>
      </c>
      <c r="NG13" s="6">
        <f t="shared" si="186"/>
        <v>-26.326755987525125</v>
      </c>
      <c r="NH13" s="6">
        <v>6.3033549999999998</v>
      </c>
      <c r="NI13" s="6">
        <f t="shared" si="187"/>
        <v>1966.4576593500001</v>
      </c>
      <c r="NJ13" s="6">
        <v>6.3479749999999999</v>
      </c>
      <c r="NK13" s="6">
        <f t="shared" si="188"/>
        <v>1980.3777607500001</v>
      </c>
      <c r="NL13" s="6">
        <f t="shared" si="189"/>
        <v>-13.920101400000034</v>
      </c>
      <c r="NN13" s="5">
        <v>46064</v>
      </c>
      <c r="NO13" s="6">
        <v>810253.1</v>
      </c>
      <c r="NP13" s="6">
        <f t="shared" si="190"/>
        <v>2087.7664012836753</v>
      </c>
      <c r="NQ13" s="6">
        <v>826689.9</v>
      </c>
      <c r="NR13" s="6">
        <f t="shared" si="191"/>
        <v>2130.1188449640754</v>
      </c>
      <c r="NS13" s="6">
        <f t="shared" si="192"/>
        <v>4217.8852462477507</v>
      </c>
      <c r="NT13" s="6"/>
      <c r="NU13" s="6">
        <f t="shared" si="193"/>
        <v>-16436.800000000047</v>
      </c>
      <c r="NV13" s="6">
        <f t="shared" si="194"/>
        <v>-42.352443680400128</v>
      </c>
      <c r="NW13" s="6">
        <v>344220</v>
      </c>
      <c r="NX13" s="6">
        <f t="shared" si="195"/>
        <v>2075.6466</v>
      </c>
      <c r="NY13" s="6">
        <v>351042.2</v>
      </c>
      <c r="NZ13" s="6">
        <f t="shared" si="196"/>
        <v>2116.7844660000001</v>
      </c>
      <c r="OA13" s="6">
        <f t="shared" si="197"/>
        <v>-41.137866000000066</v>
      </c>
      <c r="OC13" s="5">
        <v>46064</v>
      </c>
      <c r="OD13" s="6">
        <v>774990.6</v>
      </c>
      <c r="OE13" s="6">
        <f t="shared" si="198"/>
        <v>1996.9060729180501</v>
      </c>
      <c r="OF13" s="25">
        <v>790900.72581591294</v>
      </c>
      <c r="OG13" s="6">
        <f t="shared" si="199"/>
        <v>2037.9014435234315</v>
      </c>
      <c r="OH13" s="6">
        <f t="shared" si="200"/>
        <v>4034.8075164414813</v>
      </c>
      <c r="OI13" s="6"/>
      <c r="OJ13" s="6">
        <f t="shared" si="201"/>
        <v>-15910.125815912965</v>
      </c>
      <c r="OK13" s="6">
        <f t="shared" si="202"/>
        <v>-40.995370605381339</v>
      </c>
      <c r="OL13" s="6">
        <v>329252.2</v>
      </c>
      <c r="OM13" s="6">
        <f>OL13*N13</f>
        <v>1985.390766</v>
      </c>
      <c r="ON13" s="6">
        <v>335788.9</v>
      </c>
      <c r="OO13" s="6">
        <f t="shared" si="204"/>
        <v>2024.807067</v>
      </c>
      <c r="OP13" s="6">
        <f t="shared" si="205"/>
        <v>-39.416301000000068</v>
      </c>
    </row>
    <row r="14" spans="1:406" x14ac:dyDescent="0.2">
      <c r="A14" s="5">
        <v>46065</v>
      </c>
      <c r="B14" s="10">
        <v>142.94999999999999</v>
      </c>
      <c r="C14" s="8">
        <v>78.3</v>
      </c>
      <c r="D14" s="8">
        <v>190.72</v>
      </c>
      <c r="E14" s="8">
        <v>467.7</v>
      </c>
      <c r="F14" s="8">
        <v>415.68</v>
      </c>
      <c r="G14" s="2">
        <v>1.92E-3</v>
      </c>
      <c r="H14" s="8">
        <v>3.2890000000000001</v>
      </c>
      <c r="I14" s="8">
        <v>603.25</v>
      </c>
      <c r="J14" s="8">
        <v>124.19</v>
      </c>
      <c r="K14" s="8">
        <v>695.75</v>
      </c>
      <c r="L14" s="8">
        <v>57.77</v>
      </c>
      <c r="M14" s="8">
        <v>309.06</v>
      </c>
      <c r="N14" s="8">
        <v>6.3099999999999996E-3</v>
      </c>
      <c r="O14" s="8">
        <v>80.494</v>
      </c>
      <c r="P14" s="7">
        <v>3.1869999999999998E-5</v>
      </c>
      <c r="R14" s="5">
        <v>46065</v>
      </c>
      <c r="S14" s="6">
        <v>734934.06405027013</v>
      </c>
      <c r="T14" s="6">
        <f t="shared" si="0"/>
        <v>1885.3585299214819</v>
      </c>
      <c r="U14" s="6">
        <v>750893.27390838997</v>
      </c>
      <c r="V14" s="6">
        <f t="shared" si="1"/>
        <v>1926.2993896647242</v>
      </c>
      <c r="W14" s="6">
        <f t="shared" si="2"/>
        <v>3811.6579195862059</v>
      </c>
      <c r="X14" s="6"/>
      <c r="Y14" s="6">
        <f t="shared" si="3"/>
        <v>-15959.209858119837</v>
      </c>
      <c r="Z14" s="6">
        <f t="shared" si="4"/>
        <v>-40.940859743242406</v>
      </c>
      <c r="AA14" s="8">
        <v>12.54452382</v>
      </c>
      <c r="AB14" s="6">
        <f t="shared" si="5"/>
        <v>1793.2396800689999</v>
      </c>
      <c r="AC14" s="8">
        <v>12.56423659</v>
      </c>
      <c r="AD14" s="6">
        <f t="shared" si="6"/>
        <v>1796.0576205404998</v>
      </c>
      <c r="AE14" s="6">
        <f t="shared" si="7"/>
        <v>-2.8179404714999903</v>
      </c>
      <c r="AG14" s="5">
        <v>46065</v>
      </c>
      <c r="AH14" s="6">
        <v>719701.32393170299</v>
      </c>
      <c r="AI14" s="6">
        <f t="shared" si="8"/>
        <v>1846.2813148059595</v>
      </c>
      <c r="AJ14" s="8">
        <v>718060.56521036103</v>
      </c>
      <c r="AK14" s="6">
        <f t="shared" si="9"/>
        <v>1842.072204625684</v>
      </c>
      <c r="AL14" s="6">
        <f t="shared" si="10"/>
        <v>3688.3535194316437</v>
      </c>
      <c r="AM14" s="6"/>
      <c r="AN14" s="6">
        <f t="shared" si="11"/>
        <v>1640.7587213419611</v>
      </c>
      <c r="AO14" s="6">
        <f t="shared" si="12"/>
        <v>4.2091101802753528</v>
      </c>
      <c r="AP14" s="8">
        <v>12.00528553</v>
      </c>
      <c r="AQ14" s="6">
        <f t="shared" si="13"/>
        <v>1716.1555665134999</v>
      </c>
      <c r="AR14" s="8">
        <v>12.3093652</v>
      </c>
      <c r="AS14" s="6">
        <f t="shared" si="14"/>
        <v>1759.6237553399999</v>
      </c>
      <c r="AT14" s="6">
        <f t="shared" si="15"/>
        <v>-43.468188826500018</v>
      </c>
      <c r="AV14" s="5">
        <v>46065</v>
      </c>
      <c r="AW14" s="6">
        <v>829851.12993255688</v>
      </c>
      <c r="AX14" s="6">
        <f t="shared" si="16"/>
        <v>2128.8534344984564</v>
      </c>
      <c r="AY14" s="8">
        <v>772764.45650132501</v>
      </c>
      <c r="AZ14" s="6">
        <f t="shared" si="17"/>
        <v>1982.4064918907548</v>
      </c>
      <c r="BA14" s="6">
        <f t="shared" si="18"/>
        <v>4111.2599263892116</v>
      </c>
      <c r="BB14" s="6"/>
      <c r="BC14" s="6">
        <f t="shared" si="206"/>
        <v>57086.673431231873</v>
      </c>
      <c r="BD14" s="6">
        <f t="shared" si="19"/>
        <v>146.44694260770194</v>
      </c>
      <c r="BE14" s="8">
        <v>25.679174499999998</v>
      </c>
      <c r="BF14" s="6">
        <f t="shared" si="20"/>
        <v>2010.6793633499999</v>
      </c>
      <c r="BG14" s="8">
        <v>28.130944790000001</v>
      </c>
      <c r="BH14" s="6">
        <f t="shared" si="21"/>
        <v>2202.652977057</v>
      </c>
      <c r="BI14" s="6">
        <f t="shared" si="22"/>
        <v>-191.9736137070002</v>
      </c>
      <c r="BK14" s="5">
        <v>46065</v>
      </c>
      <c r="BL14" s="6">
        <v>798706.84279191901</v>
      </c>
      <c r="BM14" s="6">
        <f t="shared" si="23"/>
        <v>2048.9576311996871</v>
      </c>
      <c r="BN14" s="8">
        <v>733430.75034581101</v>
      </c>
      <c r="BO14" s="6">
        <f t="shared" si="24"/>
        <v>1881.5020134603592</v>
      </c>
      <c r="BP14" s="6">
        <f t="shared" si="25"/>
        <v>3930.4596446600463</v>
      </c>
      <c r="BQ14" s="6"/>
      <c r="BR14" s="6">
        <f t="shared" si="26"/>
        <v>65276.092446107999</v>
      </c>
      <c r="BS14" s="6">
        <f t="shared" si="27"/>
        <v>167.45561773932812</v>
      </c>
      <c r="BT14" s="8">
        <v>24.347889649999999</v>
      </c>
      <c r="BU14" s="6">
        <f t="shared" si="28"/>
        <v>1906.4397595949999</v>
      </c>
      <c r="BV14" s="8">
        <v>27.103303480000001</v>
      </c>
      <c r="BW14" s="6">
        <f t="shared" si="29"/>
        <v>2122.1886624839999</v>
      </c>
      <c r="BX14" s="6">
        <f t="shared" si="30"/>
        <v>-215.74890288900014</v>
      </c>
      <c r="BZ14" s="5">
        <v>46065</v>
      </c>
      <c r="CA14" s="19">
        <v>720468.17167235492</v>
      </c>
      <c r="CB14" s="6">
        <f t="shared" si="31"/>
        <v>1848.2485428876478</v>
      </c>
      <c r="CC14" s="8">
        <v>803864.77241287299</v>
      </c>
      <c r="CD14" s="6">
        <f t="shared" si="32"/>
        <v>2062.1894938704791</v>
      </c>
      <c r="CE14" s="6">
        <f t="shared" si="33"/>
        <v>3910.4380367581271</v>
      </c>
      <c r="CF14" s="6"/>
      <c r="CG14" s="6">
        <f t="shared" si="34"/>
        <v>-83396.600740518072</v>
      </c>
      <c r="CH14" s="6">
        <f t="shared" si="35"/>
        <v>-213.94095098283142</v>
      </c>
      <c r="CI14" s="8">
        <v>10.666155209999999</v>
      </c>
      <c r="CJ14" s="6">
        <f t="shared" si="36"/>
        <v>2034.2491216511999</v>
      </c>
      <c r="CK14" s="8">
        <v>9.7526373999999993</v>
      </c>
      <c r="CL14" s="6">
        <f t="shared" si="37"/>
        <v>1860.0230049279999</v>
      </c>
      <c r="CM14" s="6">
        <f t="shared" si="38"/>
        <v>174.22611672320002</v>
      </c>
      <c r="CO14" s="5">
        <v>46065</v>
      </c>
      <c r="CP14" s="6">
        <v>732238.15614557103</v>
      </c>
      <c r="CQ14" s="6">
        <f t="shared" si="39"/>
        <v>1878.4425993467091</v>
      </c>
      <c r="CR14" s="8">
        <v>781861.34303921997</v>
      </c>
      <c r="CS14" s="6">
        <f t="shared" si="40"/>
        <v>2005.7431331881091</v>
      </c>
      <c r="CT14" s="6">
        <f t="shared" si="41"/>
        <v>3884.1857325348183</v>
      </c>
      <c r="CU14" s="6"/>
      <c r="CV14" s="6">
        <f t="shared" si="42"/>
        <v>-49623.186893648934</v>
      </c>
      <c r="CW14" s="6">
        <f t="shared" si="43"/>
        <v>-127.3005338413998</v>
      </c>
      <c r="CX14" s="8">
        <v>10.37090523</v>
      </c>
      <c r="CY14" s="6">
        <f t="shared" si="44"/>
        <v>1977.9390454656</v>
      </c>
      <c r="CZ14" s="8">
        <v>9.9113917499999999</v>
      </c>
      <c r="DA14" s="6">
        <f t="shared" si="45"/>
        <v>1890.3006345599999</v>
      </c>
      <c r="DB14" s="6">
        <f t="shared" si="46"/>
        <v>87.638410905600011</v>
      </c>
      <c r="DD14" s="5">
        <v>46065</v>
      </c>
      <c r="DE14" s="6">
        <v>738624.91183531808</v>
      </c>
      <c r="DF14" s="6">
        <f t="shared" si="47"/>
        <v>1894.8268233297815</v>
      </c>
      <c r="DG14" s="8">
        <v>742989.15380237112</v>
      </c>
      <c r="DH14" s="6">
        <f t="shared" si="48"/>
        <v>1906.0226043143759</v>
      </c>
      <c r="DI14" s="6">
        <f t="shared" si="49"/>
        <v>3800.8494276441575</v>
      </c>
      <c r="DJ14" s="6"/>
      <c r="DK14" s="6">
        <f t="shared" si="50"/>
        <v>-4364.2419670530362</v>
      </c>
      <c r="DL14" s="6">
        <f t="shared" si="51"/>
        <v>-11.195780984594471</v>
      </c>
      <c r="DM14" s="8">
        <v>4.0333820100000004</v>
      </c>
      <c r="DN14" s="6">
        <f t="shared" si="52"/>
        <v>1886.4127660770002</v>
      </c>
      <c r="DO14" s="8">
        <v>4.0949305599999999</v>
      </c>
      <c r="DP14" s="6">
        <f t="shared" si="53"/>
        <v>1915.1990229119999</v>
      </c>
      <c r="DQ14" s="6">
        <f t="shared" si="54"/>
        <v>-28.786256834999755</v>
      </c>
      <c r="DS14" s="5">
        <v>46065</v>
      </c>
      <c r="DT14" s="6">
        <v>780327.87494921801</v>
      </c>
      <c r="DU14" s="6">
        <f t="shared" si="55"/>
        <v>2001.8092603615942</v>
      </c>
      <c r="DV14" s="8">
        <v>768368.50772788899</v>
      </c>
      <c r="DW14" s="6">
        <f t="shared" si="56"/>
        <v>1971.1293720476217</v>
      </c>
      <c r="DX14" s="6">
        <f t="shared" si="57"/>
        <v>3972.9386324092156</v>
      </c>
      <c r="DY14" s="6"/>
      <c r="DZ14" s="6">
        <f t="shared" si="58"/>
        <v>11959.367221329012</v>
      </c>
      <c r="EA14" s="6">
        <f t="shared" si="59"/>
        <v>30.679888313972263</v>
      </c>
      <c r="EB14" s="8">
        <v>4.17038653</v>
      </c>
      <c r="EC14" s="6">
        <f t="shared" si="60"/>
        <v>1950.4897800809999</v>
      </c>
      <c r="ED14" s="8">
        <v>4.3263370800000009</v>
      </c>
      <c r="EE14" s="6">
        <f t="shared" si="61"/>
        <v>2023.4278523160003</v>
      </c>
      <c r="EF14" s="6">
        <f t="shared" si="62"/>
        <v>-72.938072235000419</v>
      </c>
      <c r="EH14" s="5">
        <v>46065</v>
      </c>
      <c r="EI14" s="6">
        <v>2293001</v>
      </c>
      <c r="EJ14" s="6">
        <f t="shared" si="63"/>
        <v>5882.3358528837789</v>
      </c>
      <c r="EK14" s="8">
        <v>2346704</v>
      </c>
      <c r="EL14" s="6">
        <f t="shared" si="64"/>
        <v>6020.1025099011194</v>
      </c>
      <c r="EM14" s="6">
        <f t="shared" si="65"/>
        <v>11902.438362784898</v>
      </c>
      <c r="EN14" s="6"/>
      <c r="EO14" s="6">
        <f t="shared" si="66"/>
        <v>-53703</v>
      </c>
      <c r="EP14" s="6">
        <f t="shared" si="67"/>
        <v>-137.76665701733998</v>
      </c>
      <c r="EQ14" s="8">
        <v>14.046860000000001</v>
      </c>
      <c r="ER14" s="6">
        <f t="shared" si="68"/>
        <v>5838.9987648000006</v>
      </c>
      <c r="ES14" s="8">
        <v>13.79182</v>
      </c>
      <c r="ET14" s="6">
        <f t="shared" si="69"/>
        <v>5732.9837375999996</v>
      </c>
      <c r="EU14" s="6">
        <f t="shared" si="70"/>
        <v>106.01502720000043</v>
      </c>
      <c r="EW14" s="5">
        <v>46065</v>
      </c>
      <c r="EX14" s="6">
        <v>2272532</v>
      </c>
      <c r="EY14" s="6">
        <f t="shared" si="71"/>
        <v>5829.82583105096</v>
      </c>
      <c r="EZ14" s="8">
        <v>2335670</v>
      </c>
      <c r="FA14" s="6">
        <f t="shared" si="72"/>
        <v>5991.7965066325996</v>
      </c>
      <c r="FB14" s="6">
        <f t="shared" si="73"/>
        <v>11821.622337683559</v>
      </c>
      <c r="FC14" s="6"/>
      <c r="FD14" s="6">
        <f t="shared" si="74"/>
        <v>-63138</v>
      </c>
      <c r="FE14" s="6">
        <f t="shared" si="75"/>
        <v>-161.97067558163999</v>
      </c>
      <c r="FF14" s="8">
        <v>13.9636</v>
      </c>
      <c r="FG14" s="6">
        <f t="shared" si="76"/>
        <v>5804.3892479999995</v>
      </c>
      <c r="FH14" s="8">
        <v>13.683020000000001</v>
      </c>
      <c r="FI14" s="6">
        <f t="shared" si="77"/>
        <v>5687.7577536000008</v>
      </c>
      <c r="FJ14" s="6">
        <f t="shared" si="78"/>
        <v>116.63149439999947</v>
      </c>
      <c r="FL14" s="5">
        <v>46065</v>
      </c>
      <c r="FM14" s="6">
        <v>573376.6</v>
      </c>
      <c r="FN14" s="6">
        <f t="shared" si="79"/>
        <v>1470.9080944075479</v>
      </c>
      <c r="FO14" s="8">
        <v>634453.80000000005</v>
      </c>
      <c r="FP14" s="6">
        <f t="shared" si="80"/>
        <v>1627.5921095273641</v>
      </c>
      <c r="FQ14" s="6">
        <f t="shared" si="81"/>
        <v>3098.500203934912</v>
      </c>
      <c r="FR14" s="6"/>
      <c r="FS14" s="6">
        <f t="shared" si="82"/>
        <v>-61077.20000000007</v>
      </c>
      <c r="FT14" s="6">
        <f t="shared" si="83"/>
        <v>-156.68401511981617</v>
      </c>
      <c r="FU14" s="8">
        <v>831249.8</v>
      </c>
      <c r="FV14" s="6">
        <f t="shared" si="84"/>
        <v>1595.9996160000001</v>
      </c>
      <c r="FW14" s="8">
        <v>782533.6</v>
      </c>
      <c r="FX14" s="6">
        <f t="shared" si="85"/>
        <v>1502.464512</v>
      </c>
      <c r="FY14" s="6">
        <f t="shared" si="86"/>
        <v>93.535104000000132</v>
      </c>
      <c r="GA14" s="5">
        <v>46065</v>
      </c>
      <c r="GB14" s="6">
        <v>572210.19999999995</v>
      </c>
      <c r="GC14" s="6">
        <f t="shared" si="87"/>
        <v>1467.9158774225557</v>
      </c>
      <c r="GD14" s="8">
        <v>642642.19999999995</v>
      </c>
      <c r="GE14" s="6">
        <f t="shared" si="88"/>
        <v>1648.5981705355159</v>
      </c>
      <c r="GF14" s="6">
        <f t="shared" si="89"/>
        <v>3116.5140479580714</v>
      </c>
      <c r="GG14" s="6"/>
      <c r="GH14" s="6">
        <f t="shared" si="90"/>
        <v>-70432</v>
      </c>
      <c r="GI14" s="6">
        <f t="shared" si="91"/>
        <v>-180.68229311296</v>
      </c>
      <c r="GJ14" s="8">
        <v>841785.8</v>
      </c>
      <c r="GK14" s="6">
        <f t="shared" si="92"/>
        <v>1616.228736</v>
      </c>
      <c r="GL14" s="8">
        <v>780967.5</v>
      </c>
      <c r="GM14" s="6">
        <f t="shared" si="93"/>
        <v>1499.4576</v>
      </c>
      <c r="GN14" s="6">
        <f t="shared" si="94"/>
        <v>116.7711360000001</v>
      </c>
      <c r="GP14" s="5">
        <v>46065</v>
      </c>
      <c r="GQ14" s="6">
        <v>97499.04</v>
      </c>
      <c r="GR14" s="6">
        <f t="shared" si="95"/>
        <v>250.11855581997119</v>
      </c>
      <c r="GS14" s="8">
        <v>172898.7</v>
      </c>
      <c r="GT14" s="6">
        <f t="shared" si="96"/>
        <v>443.54460461508597</v>
      </c>
      <c r="GU14" s="6">
        <f t="shared" si="97"/>
        <v>693.66316043505719</v>
      </c>
      <c r="GV14" s="6"/>
      <c r="GW14" s="6">
        <f t="shared" si="98"/>
        <v>-75399.660000000018</v>
      </c>
      <c r="GX14" s="6">
        <f t="shared" si="99"/>
        <v>-193.42604879511481</v>
      </c>
      <c r="GY14" s="8">
        <v>133.6705</v>
      </c>
      <c r="GZ14" s="6">
        <f t="shared" si="100"/>
        <v>439.64227450000004</v>
      </c>
      <c r="HA14" s="8">
        <v>78.550889999999995</v>
      </c>
      <c r="HB14" s="6">
        <f t="shared" si="101"/>
        <v>258.35387721000001</v>
      </c>
      <c r="HC14" s="6">
        <f t="shared" si="207"/>
        <v>181.28839729000003</v>
      </c>
      <c r="HE14" s="5">
        <v>46065</v>
      </c>
      <c r="HF14" s="6">
        <v>527803.30000000005</v>
      </c>
      <c r="HG14" s="6">
        <f t="shared" si="102"/>
        <v>1353.9969127184738</v>
      </c>
      <c r="HH14" s="8">
        <v>608119.6</v>
      </c>
      <c r="HI14" s="6">
        <f t="shared" si="103"/>
        <v>1560.0358333560878</v>
      </c>
      <c r="HJ14" s="6">
        <f t="shared" si="104"/>
        <v>2914.0327460745616</v>
      </c>
      <c r="HK14" s="6"/>
      <c r="HL14" s="6">
        <f t="shared" si="105"/>
        <v>-80316.29999999993</v>
      </c>
      <c r="HM14" s="6">
        <f t="shared" si="106"/>
        <v>-206.03892063761381</v>
      </c>
      <c r="HN14" s="8">
        <v>470.55180000000001</v>
      </c>
      <c r="HO14" s="6">
        <f t="shared" si="107"/>
        <v>1547.6448702</v>
      </c>
      <c r="HP14" s="8">
        <v>425.54750000000001</v>
      </c>
      <c r="HQ14" s="6">
        <f t="shared" si="108"/>
        <v>1399.6257275</v>
      </c>
      <c r="HR14" s="6">
        <f t="shared" si="109"/>
        <v>148.0191427</v>
      </c>
      <c r="HT14" s="5">
        <v>46065</v>
      </c>
      <c r="HU14" s="6">
        <v>613557.4</v>
      </c>
      <c r="HV14" s="6">
        <f t="shared" si="110"/>
        <v>1573.9856597629719</v>
      </c>
      <c r="HW14" s="8">
        <v>555071.9</v>
      </c>
      <c r="HX14" s="6">
        <f t="shared" si="111"/>
        <v>1423.9502461177819</v>
      </c>
      <c r="HY14" s="6">
        <f t="shared" si="112"/>
        <v>2997.935905880754</v>
      </c>
      <c r="HZ14" s="6"/>
      <c r="IA14" s="6">
        <f t="shared" si="113"/>
        <v>58485.5</v>
      </c>
      <c r="IB14" s="6">
        <f t="shared" si="114"/>
        <v>150.03541364518998</v>
      </c>
      <c r="IC14" s="24">
        <v>2.2720742899999999</v>
      </c>
      <c r="ID14" s="6">
        <f t="shared" si="115"/>
        <v>1370.6288154424999</v>
      </c>
      <c r="IE14" s="8">
        <v>2.6147740000000002</v>
      </c>
      <c r="IF14" s="6">
        <f t="shared" si="116"/>
        <v>1577.3624155</v>
      </c>
      <c r="IG14" s="6">
        <f t="shared" si="117"/>
        <v>-206.73360005750013</v>
      </c>
      <c r="II14" s="5">
        <v>46065</v>
      </c>
      <c r="IJ14" s="6">
        <v>619188.19999999995</v>
      </c>
      <c r="IK14" s="6">
        <f t="shared" si="118"/>
        <v>1588.4305975193959</v>
      </c>
      <c r="IL14" s="8">
        <v>560205.69999999995</v>
      </c>
      <c r="IM14" s="6">
        <f t="shared" si="119"/>
        <v>1437.1202080155458</v>
      </c>
      <c r="IN14" s="6">
        <f t="shared" si="120"/>
        <v>3025.5508055349419</v>
      </c>
      <c r="IO14" s="6"/>
      <c r="IP14" s="6">
        <f t="shared" si="121"/>
        <v>58982.5</v>
      </c>
      <c r="IQ14" s="6">
        <f t="shared" si="122"/>
        <v>151.31038950384999</v>
      </c>
      <c r="IR14" s="8">
        <v>2.2932220000000001</v>
      </c>
      <c r="IS14" s="6">
        <f t="shared" si="123"/>
        <v>1383.3861715</v>
      </c>
      <c r="IT14" s="8">
        <v>2.6395740000000001</v>
      </c>
      <c r="IU14" s="6">
        <f t="shared" si="124"/>
        <v>1592.3230155000001</v>
      </c>
      <c r="IV14" s="6">
        <f t="shared" si="125"/>
        <v>-208.93684400000001</v>
      </c>
      <c r="IX14" s="5">
        <v>46065</v>
      </c>
      <c r="IY14" s="6">
        <v>795256.9</v>
      </c>
      <c r="IZ14" s="6">
        <f t="shared" si="126"/>
        <v>2040.1073419170821</v>
      </c>
      <c r="JA14" s="8">
        <v>747214.4</v>
      </c>
      <c r="JB14" s="6">
        <f t="shared" si="127"/>
        <v>1916.861813366432</v>
      </c>
      <c r="JC14" s="6">
        <f t="shared" si="128"/>
        <v>3956.9691552835138</v>
      </c>
      <c r="JD14" s="6"/>
      <c r="JE14" s="6">
        <f t="shared" si="129"/>
        <v>48042.5</v>
      </c>
      <c r="JF14" s="6">
        <f t="shared" si="130"/>
        <v>123.24552855064999</v>
      </c>
      <c r="JG14" s="8">
        <v>14.9396</v>
      </c>
      <c r="JH14" s="6">
        <f t="shared" si="131"/>
        <v>1855.3489240000001</v>
      </c>
      <c r="JI14" s="8">
        <v>16.2271</v>
      </c>
      <c r="JJ14" s="6">
        <f t="shared" si="132"/>
        <v>2015.243549</v>
      </c>
      <c r="JK14" s="6">
        <f>(JG14-JI14)*J14</f>
        <v>-159.89462499999996</v>
      </c>
      <c r="JM14" s="5">
        <v>46065</v>
      </c>
      <c r="JN14" s="6">
        <v>785621.7</v>
      </c>
      <c r="JO14" s="6">
        <f t="shared" si="134"/>
        <v>2015.3897415280258</v>
      </c>
      <c r="JP14" s="8">
        <v>751579.3</v>
      </c>
      <c r="JQ14" s="6">
        <f t="shared" si="135"/>
        <v>1928.0592824317539</v>
      </c>
      <c r="JR14" s="6">
        <f t="shared" si="136"/>
        <v>3943.4490239597799</v>
      </c>
      <c r="JS14" s="6"/>
      <c r="JT14" s="6">
        <f t="shared" si="137"/>
        <v>34042.399999999907</v>
      </c>
      <c r="JU14" s="6">
        <f t="shared" si="138"/>
        <v>87.330459096271767</v>
      </c>
      <c r="JV14" s="8">
        <v>15.023529999999999</v>
      </c>
      <c r="JW14" s="6">
        <f t="shared" si="139"/>
        <v>1865.7721906999998</v>
      </c>
      <c r="JX14" s="8">
        <v>16.034400000000002</v>
      </c>
      <c r="JY14" s="6">
        <f t="shared" si="140"/>
        <v>1991.3121360000002</v>
      </c>
      <c r="JZ14" s="6">
        <f t="shared" si="141"/>
        <v>-125.5399453000003</v>
      </c>
      <c r="KB14" s="5">
        <v>46065</v>
      </c>
      <c r="KC14" s="6">
        <v>782537.28410126001</v>
      </c>
      <c r="KD14" s="6">
        <f t="shared" si="142"/>
        <v>2007.4771543872603</v>
      </c>
      <c r="KE14" s="8">
        <v>732952.62070748908</v>
      </c>
      <c r="KF14" s="6">
        <f t="shared" si="143"/>
        <v>1880.2754465666562</v>
      </c>
      <c r="KG14" s="6">
        <f t="shared" si="144"/>
        <v>3887.7526009539165</v>
      </c>
      <c r="KH14" s="6"/>
      <c r="KI14" s="6">
        <f t="shared" si="145"/>
        <v>49584.663393770927</v>
      </c>
      <c r="KJ14" s="6">
        <f t="shared" si="146"/>
        <v>127.20170782060393</v>
      </c>
      <c r="KK14" s="8">
        <v>2.6686061510000001</v>
      </c>
      <c r="KL14" s="6">
        <f t="shared" si="147"/>
        <v>1856.68272955825</v>
      </c>
      <c r="KM14" s="8">
        <v>2.908138192</v>
      </c>
      <c r="KN14" s="6">
        <f t="shared" si="148"/>
        <v>2023.337147084</v>
      </c>
      <c r="KO14" s="6">
        <f t="shared" si="149"/>
        <v>-166.65441752574995</v>
      </c>
      <c r="KQ14" s="5">
        <v>46065</v>
      </c>
      <c r="KR14" s="6">
        <v>790924.73983737198</v>
      </c>
      <c r="KS14" s="6">
        <f t="shared" si="150"/>
        <v>2028.9938617899204</v>
      </c>
      <c r="KT14" s="8">
        <v>753762.25883695798</v>
      </c>
      <c r="KU14" s="6">
        <f t="shared" si="151"/>
        <v>1933.6593223061402</v>
      </c>
      <c r="KV14" s="6">
        <f t="shared" si="152"/>
        <v>3962.6531840960606</v>
      </c>
      <c r="KW14" s="6"/>
      <c r="KX14" s="6">
        <f t="shared" si="153"/>
        <v>37162.481000414002</v>
      </c>
      <c r="KY14" s="6">
        <f t="shared" si="154"/>
        <v>95.334539483780219</v>
      </c>
      <c r="KZ14" s="8">
        <v>2.745380956</v>
      </c>
      <c r="LA14" s="6">
        <f t="shared" si="155"/>
        <v>1910.0988001369999</v>
      </c>
      <c r="LB14" s="8">
        <v>2.940093063</v>
      </c>
      <c r="LC14" s="6">
        <f t="shared" si="156"/>
        <v>2045.56974858225</v>
      </c>
      <c r="LD14" s="6">
        <f t="shared" si="157"/>
        <v>-135.47094844524997</v>
      </c>
      <c r="LF14" s="5">
        <v>46065</v>
      </c>
      <c r="LG14" s="6">
        <v>719653.10489521909</v>
      </c>
      <c r="LH14" s="6">
        <f t="shared" si="158"/>
        <v>1846.1576164006378</v>
      </c>
      <c r="LI14" s="8">
        <v>755975.77512360003</v>
      </c>
      <c r="LJ14" s="6">
        <f t="shared" si="159"/>
        <v>1939.337752544006</v>
      </c>
      <c r="LK14" s="6">
        <f t="shared" si="160"/>
        <v>3785.4953689446438</v>
      </c>
      <c r="LL14" s="6"/>
      <c r="LM14" s="6">
        <f t="shared" si="161"/>
        <v>-36322.670228380943</v>
      </c>
      <c r="LN14" s="6">
        <f t="shared" si="162"/>
        <v>-93.18013614336823</v>
      </c>
      <c r="LO14" s="8">
        <v>33.070356580000002</v>
      </c>
      <c r="LP14" s="6">
        <f t="shared" si="163"/>
        <v>1910.4744996266002</v>
      </c>
      <c r="LQ14" s="8">
        <v>32.101500799999997</v>
      </c>
      <c r="LR14" s="6">
        <f t="shared" si="164"/>
        <v>1854.5037012159999</v>
      </c>
      <c r="LS14" s="6">
        <f t="shared" si="165"/>
        <v>55.970798410600324</v>
      </c>
      <c r="LU14" s="5">
        <v>46065</v>
      </c>
      <c r="LV14" s="6">
        <v>732948.20607963507</v>
      </c>
      <c r="LW14" s="6">
        <f t="shared" si="166"/>
        <v>1880.2641215285498</v>
      </c>
      <c r="LX14" s="8">
        <v>737193.79505618196</v>
      </c>
      <c r="LY14" s="6">
        <f t="shared" si="167"/>
        <v>1891.1555168019711</v>
      </c>
      <c r="LZ14" s="6">
        <f t="shared" si="168"/>
        <v>3771.4196383305207</v>
      </c>
      <c r="MA14" s="6"/>
      <c r="MB14" s="6">
        <f t="shared" si="169"/>
        <v>-4245.5889765468892</v>
      </c>
      <c r="MC14" s="6">
        <f t="shared" si="170"/>
        <v>-10.891395273421127</v>
      </c>
      <c r="MD14" s="8">
        <v>32.241710130000001</v>
      </c>
      <c r="ME14" s="6">
        <f t="shared" si="171"/>
        <v>1862.6035942101003</v>
      </c>
      <c r="MF14" s="8">
        <v>32.696181140000007</v>
      </c>
      <c r="MG14" s="6">
        <f t="shared" si="172"/>
        <v>1888.8583844578004</v>
      </c>
      <c r="MH14" s="6">
        <f t="shared" si="173"/>
        <v>-26.254790247700349</v>
      </c>
      <c r="MJ14" s="5">
        <v>46065</v>
      </c>
      <c r="MK14" s="6">
        <v>795061.2</v>
      </c>
      <c r="ML14" s="6">
        <f t="shared" si="174"/>
        <v>2039.6053041393357</v>
      </c>
      <c r="MM14" s="8">
        <v>745016.3</v>
      </c>
      <c r="MN14" s="6">
        <f t="shared" si="175"/>
        <v>1911.2229312036141</v>
      </c>
      <c r="MO14" s="6">
        <f t="shared" si="176"/>
        <v>3950.8282353429495</v>
      </c>
      <c r="MP14" s="6"/>
      <c r="MQ14" s="6">
        <f t="shared" si="177"/>
        <v>50044.899999999907</v>
      </c>
      <c r="MR14" s="6">
        <f t="shared" si="178"/>
        <v>128.38237293572175</v>
      </c>
      <c r="MS14" s="8">
        <v>5.9838880000000003</v>
      </c>
      <c r="MT14" s="6">
        <f>MS14*M14</f>
        <v>1849.3804252800001</v>
      </c>
      <c r="MU14" s="8">
        <v>6.512918</v>
      </c>
      <c r="MV14" s="6">
        <f t="shared" si="180"/>
        <v>2012.88243708</v>
      </c>
      <c r="MW14" s="6">
        <f t="shared" si="181"/>
        <v>-163.50201179999991</v>
      </c>
      <c r="MY14" s="5">
        <v>46065</v>
      </c>
      <c r="MZ14" s="6">
        <v>793966</v>
      </c>
      <c r="NA14" s="6">
        <f t="shared" si="182"/>
        <v>2036.7957396314798</v>
      </c>
      <c r="NB14" s="8">
        <v>744227.4</v>
      </c>
      <c r="NC14" s="6">
        <f t="shared" si="183"/>
        <v>1909.1991314955719</v>
      </c>
      <c r="ND14" s="6">
        <f t="shared" si="184"/>
        <v>3945.9948711270517</v>
      </c>
      <c r="NE14" s="6"/>
      <c r="NF14" s="6">
        <f t="shared" si="185"/>
        <v>49738.599999999977</v>
      </c>
      <c r="NG14" s="6">
        <f t="shared" si="186"/>
        <v>127.59660813590793</v>
      </c>
      <c r="NH14" s="8">
        <v>5.9781719999999998</v>
      </c>
      <c r="NI14" s="6">
        <f t="shared" si="187"/>
        <v>1847.61383832</v>
      </c>
      <c r="NJ14" s="8">
        <v>6.504213</v>
      </c>
      <c r="NK14" s="6">
        <f t="shared" si="188"/>
        <v>2010.1920697800001</v>
      </c>
      <c r="NL14" s="6">
        <f t="shared" si="189"/>
        <v>-162.57823146000007</v>
      </c>
      <c r="NN14" s="5">
        <v>46065</v>
      </c>
      <c r="NO14" s="6">
        <v>762631.3</v>
      </c>
      <c r="NP14" s="6">
        <f t="shared" si="190"/>
        <v>1956.4114618883141</v>
      </c>
      <c r="NQ14" s="8">
        <v>837893.3</v>
      </c>
      <c r="NR14" s="6">
        <f t="shared" si="191"/>
        <v>2149.4843654586739</v>
      </c>
      <c r="NS14" s="6">
        <f t="shared" si="192"/>
        <v>4105.895827346988</v>
      </c>
      <c r="NT14" s="6"/>
      <c r="NU14" s="6">
        <f t="shared" si="193"/>
        <v>-75262</v>
      </c>
      <c r="NV14" s="6">
        <f t="shared" si="194"/>
        <v>-193.07290357036001</v>
      </c>
      <c r="NW14" s="8">
        <v>339128.7</v>
      </c>
      <c r="NX14" s="6">
        <f t="shared" si="195"/>
        <v>2139.9020970000001</v>
      </c>
      <c r="NY14" s="8">
        <v>321624.8</v>
      </c>
      <c r="NZ14" s="6">
        <f t="shared" si="196"/>
        <v>2029.4524879999999</v>
      </c>
      <c r="OA14" s="6">
        <f t="shared" si="197"/>
        <v>110.44960900000014</v>
      </c>
      <c r="OC14" s="5">
        <v>46065</v>
      </c>
      <c r="OD14" s="6">
        <v>739481.7</v>
      </c>
      <c r="OE14" s="6">
        <f t="shared" si="198"/>
        <v>1897.0247795188259</v>
      </c>
      <c r="OF14" s="8">
        <v>786557.2</v>
      </c>
      <c r="OG14" s="6">
        <f t="shared" si="199"/>
        <v>2017.7896206342159</v>
      </c>
      <c r="OH14" s="6">
        <f t="shared" si="200"/>
        <v>3914.8144001530418</v>
      </c>
      <c r="OI14" s="6"/>
      <c r="OJ14" s="6">
        <f t="shared" si="201"/>
        <v>-47075.5</v>
      </c>
      <c r="OK14" s="6">
        <f t="shared" si="202"/>
        <v>-120.76484111538998</v>
      </c>
      <c r="OL14" s="8">
        <v>318398.90000000002</v>
      </c>
      <c r="OM14" s="6">
        <f t="shared" si="203"/>
        <v>2009.0970589999999</v>
      </c>
      <c r="ON14" s="8">
        <v>312033.5</v>
      </c>
      <c r="OO14" s="6">
        <f t="shared" si="204"/>
        <v>1968.9313849999999</v>
      </c>
      <c r="OP14" s="6">
        <f t="shared" si="205"/>
        <v>40.165674000000145</v>
      </c>
    </row>
    <row r="15" spans="1:406" x14ac:dyDescent="0.2">
      <c r="A15" s="5">
        <v>46066</v>
      </c>
      <c r="B15" s="10">
        <v>142.87</v>
      </c>
      <c r="C15" s="6">
        <v>70.61</v>
      </c>
      <c r="D15" s="6">
        <v>186.89</v>
      </c>
      <c r="E15" s="6">
        <v>452.07</v>
      </c>
      <c r="F15" s="6">
        <v>417.79</v>
      </c>
      <c r="G15" s="2">
        <v>2.0899999999999998E-3</v>
      </c>
      <c r="H15" s="6">
        <v>3.4220000000000002</v>
      </c>
      <c r="I15" s="6">
        <v>601.52</v>
      </c>
      <c r="J15" s="6">
        <v>134.31</v>
      </c>
      <c r="K15" s="6">
        <v>683.87</v>
      </c>
      <c r="L15" s="6">
        <v>56.43</v>
      </c>
      <c r="M15" s="6">
        <v>306.33999999999997</v>
      </c>
      <c r="N15" s="6">
        <v>6.6499999999999997E-3</v>
      </c>
      <c r="O15" s="6">
        <v>78.528000000000006</v>
      </c>
      <c r="P15" s="7">
        <v>3.2129999999999999E-5</v>
      </c>
      <c r="R15" s="5">
        <v>46066</v>
      </c>
      <c r="S15" s="6">
        <v>747107.3402630249</v>
      </c>
      <c r="T15" s="6">
        <f t="shared" si="0"/>
        <v>1885.0299967956971</v>
      </c>
      <c r="U15" s="6">
        <v>781746.55854565615</v>
      </c>
      <c r="V15" s="6">
        <f t="shared" si="1"/>
        <v>1972.4283691705768</v>
      </c>
      <c r="W15" s="6">
        <f t="shared" si="2"/>
        <v>3857.458365966274</v>
      </c>
      <c r="X15" s="6"/>
      <c r="Y15" s="6">
        <f t="shared" si="3"/>
        <v>-34639.218282631249</v>
      </c>
      <c r="Z15" s="6">
        <f t="shared" si="4"/>
        <v>-87.398372374879742</v>
      </c>
      <c r="AA15" s="6">
        <v>12.944541040000001</v>
      </c>
      <c r="AB15" s="6">
        <f t="shared" si="5"/>
        <v>1849.3865783848003</v>
      </c>
      <c r="AC15" s="6">
        <v>12.64724895</v>
      </c>
      <c r="AD15" s="6">
        <f t="shared" si="6"/>
        <v>1806.9124574865</v>
      </c>
      <c r="AE15" s="6">
        <f t="shared" si="7"/>
        <v>42.474120898300129</v>
      </c>
      <c r="AG15" s="5">
        <v>46066</v>
      </c>
      <c r="AH15" s="6">
        <v>764808.77480152599</v>
      </c>
      <c r="AI15" s="6">
        <f t="shared" si="8"/>
        <v>1929.6925684144453</v>
      </c>
      <c r="AJ15" s="6">
        <v>784895.95679367904</v>
      </c>
      <c r="AK15" s="6">
        <f t="shared" si="9"/>
        <v>1980.3746305033712</v>
      </c>
      <c r="AL15" s="6">
        <f t="shared" si="10"/>
        <v>3910.0671989178163</v>
      </c>
      <c r="AM15" s="6"/>
      <c r="AN15" s="6">
        <f t="shared" si="11"/>
        <v>-20087.181992153055</v>
      </c>
      <c r="AO15" s="6">
        <f t="shared" si="12"/>
        <v>-50.682062088925818</v>
      </c>
      <c r="AP15" s="6">
        <v>12.98203125</v>
      </c>
      <c r="AQ15" s="6">
        <f t="shared" si="13"/>
        <v>1854.7428046875002</v>
      </c>
      <c r="AR15" s="6">
        <v>12.93288227</v>
      </c>
      <c r="AS15" s="6">
        <f t="shared" si="14"/>
        <v>1847.7208899149</v>
      </c>
      <c r="AT15" s="6">
        <f t="shared" si="15"/>
        <v>7.0219147726000015</v>
      </c>
      <c r="AV15" s="5">
        <v>46066</v>
      </c>
      <c r="AW15" s="6">
        <v>821785.89009172202</v>
      </c>
      <c r="AX15" s="6">
        <f t="shared" si="16"/>
        <v>2073.451792376954</v>
      </c>
      <c r="AY15" s="6">
        <v>831006.29411709693</v>
      </c>
      <c r="AZ15" s="6">
        <f t="shared" si="17"/>
        <v>2096.7158365560522</v>
      </c>
      <c r="BA15" s="6">
        <f t="shared" si="18"/>
        <v>4170.1676289330062</v>
      </c>
      <c r="BB15" s="6"/>
      <c r="BC15" s="6">
        <f t="shared" si="206"/>
        <v>-9220.4040253749117</v>
      </c>
      <c r="BD15" s="6">
        <f t="shared" si="19"/>
        <v>-23.264044179098118</v>
      </c>
      <c r="BE15" s="6">
        <v>28.554248999999999</v>
      </c>
      <c r="BF15" s="6">
        <f t="shared" si="20"/>
        <v>2016.21552189</v>
      </c>
      <c r="BG15" s="6">
        <v>28.841984159999999</v>
      </c>
      <c r="BH15" s="6">
        <f t="shared" si="21"/>
        <v>2036.5325015376</v>
      </c>
      <c r="BI15" s="6">
        <f t="shared" si="22"/>
        <v>-20.316979647600032</v>
      </c>
      <c r="BK15" s="5">
        <v>46066</v>
      </c>
      <c r="BL15" s="6">
        <v>803044.01412354899</v>
      </c>
      <c r="BM15" s="6">
        <f t="shared" si="23"/>
        <v>2026.1640781593519</v>
      </c>
      <c r="BN15" s="6">
        <v>857547.51678103488</v>
      </c>
      <c r="BO15" s="6">
        <f t="shared" si="24"/>
        <v>2163.6821186107068</v>
      </c>
      <c r="BP15" s="6">
        <f t="shared" si="25"/>
        <v>4189.8461967700587</v>
      </c>
      <c r="BQ15" s="6"/>
      <c r="BR15" s="6">
        <f t="shared" si="26"/>
        <v>-54503.502657485893</v>
      </c>
      <c r="BS15" s="6">
        <f t="shared" si="27"/>
        <v>-137.51804045135501</v>
      </c>
      <c r="BT15" s="6">
        <v>29.485074910000002</v>
      </c>
      <c r="BU15" s="6">
        <f>BT15*C15</f>
        <v>2081.9411393951</v>
      </c>
      <c r="BV15" s="6">
        <v>28.193902850000001</v>
      </c>
      <c r="BW15" s="6">
        <f t="shared" si="29"/>
        <v>1990.7714802385001</v>
      </c>
      <c r="BX15" s="6">
        <f t="shared" si="30"/>
        <v>91.169659156600062</v>
      </c>
      <c r="BZ15" s="5">
        <v>46066</v>
      </c>
      <c r="CA15" s="6">
        <v>839812.50715094397</v>
      </c>
      <c r="CB15" s="6">
        <f t="shared" si="31"/>
        <v>2118.93483352258</v>
      </c>
      <c r="CC15" s="6">
        <v>757766.25765570509</v>
      </c>
      <c r="CD15" s="6">
        <f t="shared" si="32"/>
        <v>1911.923560726545</v>
      </c>
      <c r="CE15" s="6">
        <f t="shared" si="33"/>
        <v>4030.858394249125</v>
      </c>
      <c r="CF15" s="6"/>
      <c r="CG15" s="6">
        <f t="shared" si="34"/>
        <v>82046.249495238881</v>
      </c>
      <c r="CH15" s="6">
        <f t="shared" si="35"/>
        <v>207.01127279603489</v>
      </c>
      <c r="CI15" s="6">
        <v>10.208943039999999</v>
      </c>
      <c r="CJ15" s="6">
        <f t="shared" si="36"/>
        <v>1907.9493647455997</v>
      </c>
      <c r="CK15" s="6">
        <v>11.58281899</v>
      </c>
      <c r="CL15" s="6">
        <f t="shared" si="37"/>
        <v>2164.7130410410996</v>
      </c>
      <c r="CM15" s="6">
        <f t="shared" si="38"/>
        <v>-256.76367629550003</v>
      </c>
      <c r="CO15" s="5">
        <v>46066</v>
      </c>
      <c r="CP15" s="6">
        <v>831964.42879395804</v>
      </c>
      <c r="CQ15" s="6">
        <f t="shared" si="39"/>
        <v>2099.1333106049851</v>
      </c>
      <c r="CR15" s="6">
        <v>748728.80381334503</v>
      </c>
      <c r="CS15" s="6">
        <f t="shared" si="40"/>
        <v>1889.1211190031006</v>
      </c>
      <c r="CT15" s="6">
        <f t="shared" si="41"/>
        <v>3988.254429608086</v>
      </c>
      <c r="CU15" s="6"/>
      <c r="CV15" s="6">
        <f t="shared" si="42"/>
        <v>83235.624980613007</v>
      </c>
      <c r="CW15" s="6">
        <f t="shared" si="43"/>
        <v>210.01219160188461</v>
      </c>
      <c r="CX15" s="6">
        <v>10.080026119999999</v>
      </c>
      <c r="CY15" s="6">
        <f t="shared" si="44"/>
        <v>1883.8560815667997</v>
      </c>
      <c r="CZ15" s="6">
        <v>11.48028105</v>
      </c>
      <c r="DA15" s="6">
        <f t="shared" si="45"/>
        <v>2145.5497254345</v>
      </c>
      <c r="DB15" s="6">
        <f t="shared" si="46"/>
        <v>-261.69364386770013</v>
      </c>
      <c r="DD15" s="5">
        <v>46066</v>
      </c>
      <c r="DE15" s="6">
        <v>760208.206290456</v>
      </c>
      <c r="DF15" s="6">
        <f t="shared" si="47"/>
        <v>1918.0848526575269</v>
      </c>
      <c r="DG15" s="6">
        <v>796131.07613230683</v>
      </c>
      <c r="DH15" s="6">
        <f t="shared" si="48"/>
        <v>2008.7220122376168</v>
      </c>
      <c r="DI15" s="6">
        <f t="shared" si="49"/>
        <v>3926.8068648951439</v>
      </c>
      <c r="DJ15" s="6"/>
      <c r="DK15" s="6">
        <f t="shared" si="50"/>
        <v>-35922.869841850828</v>
      </c>
      <c r="DL15" s="6">
        <f t="shared" si="51"/>
        <v>-90.6371595800899</v>
      </c>
      <c r="DM15" s="6">
        <v>4.3849462699999986</v>
      </c>
      <c r="DN15" s="6">
        <f t="shared" si="52"/>
        <v>1982.3026602788993</v>
      </c>
      <c r="DO15" s="6">
        <v>4.2688663099999999</v>
      </c>
      <c r="DP15" s="6">
        <f t="shared" si="53"/>
        <v>1929.8263927616999</v>
      </c>
      <c r="DQ15" s="6">
        <f t="shared" si="54"/>
        <v>52.476267517199389</v>
      </c>
      <c r="DS15" s="5">
        <v>46066</v>
      </c>
      <c r="DT15" s="6">
        <v>759584.138152575</v>
      </c>
      <c r="DU15" s="6">
        <f t="shared" si="55"/>
        <v>1916.510263443163</v>
      </c>
      <c r="DV15" s="6">
        <v>794565.03343701595</v>
      </c>
      <c r="DW15" s="6">
        <f t="shared" si="56"/>
        <v>2004.77072264669</v>
      </c>
      <c r="DX15" s="6">
        <f t="shared" si="57"/>
        <v>3921.2809860898533</v>
      </c>
      <c r="DY15" s="6"/>
      <c r="DZ15" s="6">
        <f t="shared" si="58"/>
        <v>-34980.89528444095</v>
      </c>
      <c r="EA15" s="6">
        <f t="shared" si="59"/>
        <v>-88.260459203527091</v>
      </c>
      <c r="EB15" s="6">
        <v>4.3748871999999999</v>
      </c>
      <c r="EC15" s="6">
        <f t="shared" si="60"/>
        <v>1977.7552565039998</v>
      </c>
      <c r="ED15" s="6">
        <v>4.2655113100000008</v>
      </c>
      <c r="EE15" s="6">
        <f t="shared" si="61"/>
        <v>1928.3096979117004</v>
      </c>
      <c r="EF15" s="6">
        <f t="shared" si="62"/>
        <v>49.445558592299562</v>
      </c>
      <c r="EH15" s="5">
        <v>46066</v>
      </c>
      <c r="EI15" s="6">
        <v>2336676.2805402828</v>
      </c>
      <c r="EJ15" s="6">
        <f t="shared" si="63"/>
        <v>5895.6787656091292</v>
      </c>
      <c r="EK15" s="6">
        <v>2273237.4399055298</v>
      </c>
      <c r="EL15" s="6">
        <f t="shared" si="64"/>
        <v>5735.6159324473638</v>
      </c>
      <c r="EM15" s="6">
        <f t="shared" si="65"/>
        <v>11631.294698056492</v>
      </c>
      <c r="EN15" s="6"/>
      <c r="EO15" s="6">
        <f t="shared" si="66"/>
        <v>63438.840634752996</v>
      </c>
      <c r="EP15" s="6">
        <f t="shared" si="67"/>
        <v>160.06283316176584</v>
      </c>
      <c r="EQ15" s="6">
        <v>13.9113211</v>
      </c>
      <c r="ER15" s="6">
        <f t="shared" si="68"/>
        <v>5812.0108423690008</v>
      </c>
      <c r="ES15" s="6">
        <v>14.37789706</v>
      </c>
      <c r="ET15" s="6">
        <f t="shared" si="69"/>
        <v>6006.9416126974002</v>
      </c>
      <c r="EU15" s="6">
        <f t="shared" si="70"/>
        <v>-194.93077032840006</v>
      </c>
      <c r="EW15" s="5">
        <v>46066</v>
      </c>
      <c r="EX15" s="6">
        <v>2336848.4710555319</v>
      </c>
      <c r="EY15" s="6">
        <f t="shared" si="71"/>
        <v>5896.1132202971194</v>
      </c>
      <c r="EZ15" s="6">
        <v>2267075.911585723</v>
      </c>
      <c r="FA15" s="6">
        <f t="shared" si="72"/>
        <v>5720.0697517541676</v>
      </c>
      <c r="FB15" s="6">
        <f t="shared" si="73"/>
        <v>11616.182972051287</v>
      </c>
      <c r="FC15" s="6"/>
      <c r="FD15" s="6">
        <f t="shared" si="74"/>
        <v>69772.559469808824</v>
      </c>
      <c r="FE15" s="6">
        <f t="shared" si="75"/>
        <v>176.04346854295059</v>
      </c>
      <c r="FF15" s="6">
        <v>13.85795049</v>
      </c>
      <c r="FG15" s="6">
        <f t="shared" si="76"/>
        <v>5789.7131352171</v>
      </c>
      <c r="FH15" s="6">
        <v>14.39837507</v>
      </c>
      <c r="FI15" s="6">
        <f t="shared" si="77"/>
        <v>6015.4971204953008</v>
      </c>
      <c r="FJ15" s="6">
        <f t="shared" si="78"/>
        <v>-225.78398527819994</v>
      </c>
      <c r="FL15" s="5">
        <v>46066</v>
      </c>
      <c r="FM15" s="6">
        <v>654838.65001768293</v>
      </c>
      <c r="FN15" s="6">
        <f t="shared" si="79"/>
        <v>1652.2264363109518</v>
      </c>
      <c r="FO15" s="6">
        <v>588756.68789738207</v>
      </c>
      <c r="FP15" s="6">
        <f t="shared" si="80"/>
        <v>1485.4947310649166</v>
      </c>
      <c r="FQ15" s="6">
        <f t="shared" si="81"/>
        <v>3137.7211673758684</v>
      </c>
      <c r="FR15" s="6"/>
      <c r="FS15" s="6">
        <f t="shared" si="82"/>
        <v>66081.962120300857</v>
      </c>
      <c r="FT15" s="6">
        <f t="shared" si="83"/>
        <v>166.73170524603535</v>
      </c>
      <c r="FU15" s="6">
        <v>743076.32420299994</v>
      </c>
      <c r="FV15" s="6">
        <f t="shared" si="84"/>
        <v>1553.0295175842698</v>
      </c>
      <c r="FW15" s="6">
        <v>860077.64764699992</v>
      </c>
      <c r="FX15" s="6">
        <f t="shared" si="85"/>
        <v>1797.5622835822296</v>
      </c>
      <c r="FY15" s="6">
        <f t="shared" si="86"/>
        <v>-244.53276599795993</v>
      </c>
      <c r="GA15" s="5">
        <v>46066</v>
      </c>
      <c r="GB15" s="6">
        <v>681983.91768820595</v>
      </c>
      <c r="GC15" s="6">
        <f t="shared" si="87"/>
        <v>1720.7167871244906</v>
      </c>
      <c r="GD15" s="6">
        <v>593457.63889274001</v>
      </c>
      <c r="GE15" s="6">
        <f t="shared" si="88"/>
        <v>1497.3557223337168</v>
      </c>
      <c r="GF15" s="6">
        <f t="shared" si="89"/>
        <v>3218.0725094582076</v>
      </c>
      <c r="GG15" s="6"/>
      <c r="GH15" s="6">
        <f t="shared" si="90"/>
        <v>88526.278795465943</v>
      </c>
      <c r="GI15" s="6">
        <f t="shared" si="91"/>
        <v>223.36106479077375</v>
      </c>
      <c r="GJ15" s="6">
        <v>748802.67484600004</v>
      </c>
      <c r="GK15" s="6">
        <f t="shared" si="92"/>
        <v>1564.99759042814</v>
      </c>
      <c r="GL15" s="6">
        <v>895549.74938699987</v>
      </c>
      <c r="GM15" s="6">
        <f t="shared" si="93"/>
        <v>1871.6989762188296</v>
      </c>
      <c r="GN15" s="6">
        <f t="shared" si="94"/>
        <v>-306.70138579068964</v>
      </c>
      <c r="GP15" s="5">
        <v>46066</v>
      </c>
      <c r="GQ15" s="6">
        <v>285421.97114756098</v>
      </c>
      <c r="GR15" s="6">
        <f t="shared" si="95"/>
        <v>720.14949976035723</v>
      </c>
      <c r="GS15" s="6">
        <v>146348.00721372699</v>
      </c>
      <c r="GT15" s="6">
        <f t="shared" si="96"/>
        <v>369.25133605570807</v>
      </c>
      <c r="GU15" s="6">
        <f t="shared" si="97"/>
        <v>1089.4008358160654</v>
      </c>
      <c r="GV15" s="6"/>
      <c r="GW15" s="6">
        <f t="shared" si="98"/>
        <v>139073.96393383399</v>
      </c>
      <c r="GX15" s="6">
        <f t="shared" si="99"/>
        <v>350.89816370464916</v>
      </c>
      <c r="GY15" s="6">
        <v>111.98919100000001</v>
      </c>
      <c r="GZ15" s="6">
        <f t="shared" si="100"/>
        <v>383.22701160200006</v>
      </c>
      <c r="HA15" s="6">
        <v>226.95684499999999</v>
      </c>
      <c r="HB15" s="6">
        <f t="shared" si="101"/>
        <v>776.64632358999995</v>
      </c>
      <c r="HC15" s="6">
        <f t="shared" si="207"/>
        <v>-393.41931198799995</v>
      </c>
      <c r="HE15" s="5">
        <v>46066</v>
      </c>
      <c r="HF15" s="6">
        <v>676784.12950776401</v>
      </c>
      <c r="HG15" s="6">
        <f t="shared" si="102"/>
        <v>1707.5971774394004</v>
      </c>
      <c r="HH15" s="6">
        <v>582473.29406831297</v>
      </c>
      <c r="HI15" s="6">
        <f t="shared" si="103"/>
        <v>1469.6410709398451</v>
      </c>
      <c r="HJ15" s="6">
        <f t="shared" si="104"/>
        <v>3177.2382483792453</v>
      </c>
      <c r="HK15" s="6"/>
      <c r="HL15" s="6">
        <f t="shared" si="105"/>
        <v>94310.835439451039</v>
      </c>
      <c r="HM15" s="6">
        <f t="shared" si="106"/>
        <v>237.95610649955537</v>
      </c>
      <c r="HN15" s="6">
        <v>444.07337700000011</v>
      </c>
      <c r="HO15" s="6">
        <f t="shared" si="107"/>
        <v>1519.6190960940005</v>
      </c>
      <c r="HP15" s="6">
        <v>537.24439800000005</v>
      </c>
      <c r="HQ15" s="6">
        <f t="shared" si="108"/>
        <v>1838.4503299560001</v>
      </c>
      <c r="HR15" s="6">
        <f t="shared" si="109"/>
        <v>-318.83123386199981</v>
      </c>
      <c r="HT15" s="5">
        <v>46066</v>
      </c>
      <c r="HU15" s="6">
        <v>658687.96290936694</v>
      </c>
      <c r="HV15" s="6">
        <f t="shared" si="110"/>
        <v>1661.9386555287715</v>
      </c>
      <c r="HW15" s="6">
        <v>676803.82750476606</v>
      </c>
      <c r="HX15" s="6">
        <f t="shared" si="111"/>
        <v>1707.646877547035</v>
      </c>
      <c r="HY15" s="6">
        <f t="shared" si="112"/>
        <v>3369.5855330758068</v>
      </c>
      <c r="HZ15" s="6"/>
      <c r="IA15" s="6">
        <f t="shared" si="113"/>
        <v>-18115.864595399122</v>
      </c>
      <c r="IB15" s="6">
        <f t="shared" si="114"/>
        <v>-45.70822201826325</v>
      </c>
      <c r="IC15" s="6">
        <v>2.7951427199999999</v>
      </c>
      <c r="ID15" s="6">
        <f t="shared" si="115"/>
        <v>1681.3342489344</v>
      </c>
      <c r="IE15" s="6">
        <v>2.832121470000001</v>
      </c>
      <c r="IF15" s="6">
        <f t="shared" si="116"/>
        <v>1703.5777066344006</v>
      </c>
      <c r="IG15" s="6">
        <f t="shared" si="117"/>
        <v>-22.243457700000704</v>
      </c>
      <c r="II15" s="5">
        <v>46066</v>
      </c>
      <c r="IJ15" s="6">
        <v>645550.43052816798</v>
      </c>
      <c r="IK15" s="6">
        <f t="shared" si="118"/>
        <v>1628.7912866196184</v>
      </c>
      <c r="IL15" s="6">
        <v>656453.86534115102</v>
      </c>
      <c r="IM15" s="6">
        <f t="shared" si="119"/>
        <v>1656.3017935881933</v>
      </c>
      <c r="IN15" s="6">
        <f t="shared" si="120"/>
        <v>3285.0930802078119</v>
      </c>
      <c r="IO15" s="6"/>
      <c r="IP15" s="6">
        <f t="shared" si="121"/>
        <v>-10903.434812983032</v>
      </c>
      <c r="IQ15" s="6">
        <f t="shared" si="122"/>
        <v>-27.510506968575022</v>
      </c>
      <c r="IR15" s="6">
        <v>2.70933527</v>
      </c>
      <c r="IS15" s="6">
        <f t="shared" si="123"/>
        <v>1629.7193516103998</v>
      </c>
      <c r="IT15" s="6">
        <v>2.7759539000000002</v>
      </c>
      <c r="IU15" s="6">
        <f t="shared" si="124"/>
        <v>1669.7917899280001</v>
      </c>
      <c r="IV15" s="6">
        <f t="shared" si="125"/>
        <v>-40.072438317600138</v>
      </c>
      <c r="IX15" s="5">
        <v>46066</v>
      </c>
      <c r="IY15" s="6">
        <v>808839.74806856399</v>
      </c>
      <c r="IZ15" s="6">
        <f t="shared" si="126"/>
        <v>2040.7873213682251</v>
      </c>
      <c r="JA15" s="6">
        <v>850877.70409948286</v>
      </c>
      <c r="JB15" s="6">
        <f t="shared" si="127"/>
        <v>2146.8534832859523</v>
      </c>
      <c r="JC15" s="6">
        <f t="shared" si="128"/>
        <v>4187.6408046541774</v>
      </c>
      <c r="JD15" s="6"/>
      <c r="JE15" s="6">
        <f t="shared" si="129"/>
        <v>-42037.956030918867</v>
      </c>
      <c r="JF15" s="6">
        <f t="shared" si="130"/>
        <v>-106.06616191772737</v>
      </c>
      <c r="JG15" s="6">
        <v>16.936577280000002</v>
      </c>
      <c r="JH15" s="6">
        <f t="shared" si="131"/>
        <v>2274.7516944768004</v>
      </c>
      <c r="JI15" s="6">
        <v>16.42694023</v>
      </c>
      <c r="JJ15" s="6">
        <f t="shared" si="132"/>
        <v>2206.3023422913002</v>
      </c>
      <c r="JK15" s="6">
        <f t="shared" si="133"/>
        <v>68.449352185500274</v>
      </c>
      <c r="JM15" s="5">
        <v>46066</v>
      </c>
      <c r="JN15" s="6">
        <v>820032.59710591694</v>
      </c>
      <c r="JO15" s="6">
        <f t="shared" si="134"/>
        <v>2069.0280507091898</v>
      </c>
      <c r="JP15" s="6">
        <v>840363.377301923</v>
      </c>
      <c r="JQ15" s="6">
        <f t="shared" si="135"/>
        <v>2120.3247365565526</v>
      </c>
      <c r="JR15" s="6">
        <f t="shared" si="136"/>
        <v>4189.3527872657423</v>
      </c>
      <c r="JS15" s="6"/>
      <c r="JT15" s="6">
        <f t="shared" si="137"/>
        <v>-20330.780196006061</v>
      </c>
      <c r="JU15" s="6">
        <f t="shared" si="138"/>
        <v>-51.296685847363001</v>
      </c>
      <c r="JV15" s="6">
        <v>16.720821059999999</v>
      </c>
      <c r="JW15" s="6">
        <f t="shared" si="139"/>
        <v>2245.7734765686</v>
      </c>
      <c r="JX15" s="6">
        <v>16.649619120000001</v>
      </c>
      <c r="JY15" s="6">
        <f t="shared" si="140"/>
        <v>2236.2103440072001</v>
      </c>
      <c r="JZ15" s="6">
        <f t="shared" si="141"/>
        <v>9.5631325613997493</v>
      </c>
      <c r="KB15" s="5">
        <v>46066</v>
      </c>
      <c r="KC15" s="6">
        <v>806164.98125737906</v>
      </c>
      <c r="KD15" s="6">
        <f t="shared" si="142"/>
        <v>2034.0386048160062</v>
      </c>
      <c r="KE15" s="6">
        <v>844702.61688479583</v>
      </c>
      <c r="KF15" s="6">
        <f t="shared" si="143"/>
        <v>2131.2730920821709</v>
      </c>
      <c r="KG15" s="6">
        <f t="shared" si="144"/>
        <v>4165.3116968981776</v>
      </c>
      <c r="KH15" s="6"/>
      <c r="KI15" s="6">
        <f t="shared" si="145"/>
        <v>-38537.635627416777</v>
      </c>
      <c r="KJ15" s="6">
        <f t="shared" si="146"/>
        <v>-97.234487266164578</v>
      </c>
      <c r="KK15" s="6">
        <v>3.1147072730000001</v>
      </c>
      <c r="KL15" s="6">
        <f t="shared" si="147"/>
        <v>2130.0548627865101</v>
      </c>
      <c r="KM15" s="6">
        <v>3.03120433</v>
      </c>
      <c r="KN15" s="6">
        <f t="shared" si="148"/>
        <v>2072.9497051571002</v>
      </c>
      <c r="KO15" s="6">
        <f t="shared" si="149"/>
        <v>57.105157629410037</v>
      </c>
      <c r="KQ15" s="5">
        <v>46066</v>
      </c>
      <c r="KR15" s="6">
        <v>800595.01714769797</v>
      </c>
      <c r="KS15" s="6">
        <f t="shared" si="150"/>
        <v>2019.9850025262365</v>
      </c>
      <c r="KT15" s="6">
        <v>835578.56641645601</v>
      </c>
      <c r="KU15" s="6">
        <f t="shared" si="151"/>
        <v>2108.2521580099083</v>
      </c>
      <c r="KV15" s="6">
        <f t="shared" si="152"/>
        <v>4128.237160536145</v>
      </c>
      <c r="KW15" s="6"/>
      <c r="KX15" s="6">
        <f t="shared" si="153"/>
        <v>-34983.549268758041</v>
      </c>
      <c r="KY15" s="6">
        <f t="shared" si="154"/>
        <v>-88.267155483672028</v>
      </c>
      <c r="KZ15" s="6">
        <v>3.0805522320000001</v>
      </c>
      <c r="LA15" s="6">
        <f t="shared" si="155"/>
        <v>2106.6972548978401</v>
      </c>
      <c r="LB15" s="6">
        <v>3.0098655390000002</v>
      </c>
      <c r="LC15" s="6">
        <f t="shared" si="156"/>
        <v>2058.3567461559301</v>
      </c>
      <c r="LD15" s="6">
        <f t="shared" si="157"/>
        <v>48.3405087419099</v>
      </c>
      <c r="LF15" s="5">
        <v>46066</v>
      </c>
      <c r="LG15" s="6">
        <v>866187.12087411992</v>
      </c>
      <c r="LH15" s="6">
        <f t="shared" si="158"/>
        <v>2185.480743785733</v>
      </c>
      <c r="LI15" s="6">
        <v>775628.64603732305</v>
      </c>
      <c r="LJ15" s="6">
        <f t="shared" si="159"/>
        <v>1956.9922357336875</v>
      </c>
      <c r="LK15" s="6">
        <f t="shared" si="160"/>
        <v>4142.4729795194207</v>
      </c>
      <c r="LL15" s="6"/>
      <c r="LM15" s="6">
        <f t="shared" si="161"/>
        <v>90558.474836796871</v>
      </c>
      <c r="LN15" s="6">
        <f t="shared" si="162"/>
        <v>228.48850805204546</v>
      </c>
      <c r="LO15" s="6">
        <v>33.641166509999998</v>
      </c>
      <c r="LP15" s="6">
        <f t="shared" si="163"/>
        <v>1898.3710261592998</v>
      </c>
      <c r="LQ15" s="6">
        <v>38.301517829999987</v>
      </c>
      <c r="LR15" s="6">
        <f t="shared" si="164"/>
        <v>2161.3546511468994</v>
      </c>
      <c r="LS15" s="6">
        <f t="shared" si="165"/>
        <v>-262.9836249875994</v>
      </c>
      <c r="LU15" s="5">
        <v>46066</v>
      </c>
      <c r="LV15" s="6">
        <v>843628.03072866111</v>
      </c>
      <c r="LW15" s="6">
        <f t="shared" si="166"/>
        <v>2128.5617987655478</v>
      </c>
      <c r="LX15" s="6">
        <v>760518.58990823408</v>
      </c>
      <c r="LY15" s="6">
        <f t="shared" si="167"/>
        <v>1918.8679830037227</v>
      </c>
      <c r="LZ15" s="6">
        <f t="shared" si="168"/>
        <v>4047.4297817692704</v>
      </c>
      <c r="MA15" s="6"/>
      <c r="MB15" s="6">
        <f t="shared" si="169"/>
        <v>83109.440820427029</v>
      </c>
      <c r="MC15" s="6">
        <f t="shared" si="170"/>
        <v>209.69381576182485</v>
      </c>
      <c r="MD15" s="6">
        <v>32.990367120000002</v>
      </c>
      <c r="ME15" s="6">
        <f t="shared" si="171"/>
        <v>1861.6464165816001</v>
      </c>
      <c r="MF15" s="6">
        <v>37.297613009999999</v>
      </c>
      <c r="MG15" s="6">
        <f t="shared" si="172"/>
        <v>2104.7043021543</v>
      </c>
      <c r="MH15" s="6">
        <f t="shared" si="173"/>
        <v>-243.05788557269983</v>
      </c>
      <c r="MJ15" s="5">
        <v>46066</v>
      </c>
      <c r="MK15" s="6">
        <v>815325.47529746499</v>
      </c>
      <c r="ML15" s="6">
        <f t="shared" si="174"/>
        <v>2057.1514898332393</v>
      </c>
      <c r="MM15" s="6">
        <v>844050.55825227499</v>
      </c>
      <c r="MN15" s="6">
        <f t="shared" si="175"/>
        <v>2129.6278799209053</v>
      </c>
      <c r="MO15" s="6">
        <f t="shared" si="176"/>
        <v>4186.7793697541447</v>
      </c>
      <c r="MP15" s="6"/>
      <c r="MQ15" s="6">
        <f t="shared" si="177"/>
        <v>-28725.082954810001</v>
      </c>
      <c r="MR15" s="6">
        <f t="shared" si="178"/>
        <v>-72.476390087666033</v>
      </c>
      <c r="MS15" s="6">
        <v>6.8793518000000002</v>
      </c>
      <c r="MT15" s="6">
        <f t="shared" si="179"/>
        <v>2107.4206304119998</v>
      </c>
      <c r="MU15" s="6">
        <v>6.7783698000000001</v>
      </c>
      <c r="MV15" s="6">
        <f t="shared" si="180"/>
        <v>2076.4858045319997</v>
      </c>
      <c r="MW15" s="6">
        <f t="shared" si="181"/>
        <v>30.934825880000037</v>
      </c>
      <c r="MY15" s="5">
        <v>46066</v>
      </c>
      <c r="MZ15" s="6">
        <v>828366.42424247402</v>
      </c>
      <c r="NA15" s="6">
        <f t="shared" si="182"/>
        <v>2090.0551686263948</v>
      </c>
      <c r="NB15" s="6">
        <v>852262.26796723192</v>
      </c>
      <c r="NC15" s="6">
        <f t="shared" si="183"/>
        <v>2150.3468828050463</v>
      </c>
      <c r="ND15" s="6">
        <f t="shared" si="184"/>
        <v>4240.4020514314416</v>
      </c>
      <c r="NE15" s="6"/>
      <c r="NF15" s="6">
        <f t="shared" si="185"/>
        <v>-23895.843724757899</v>
      </c>
      <c r="NG15" s="6">
        <f t="shared" si="186"/>
        <v>-60.291714178651546</v>
      </c>
      <c r="NH15" s="6">
        <v>6.9478704200000001</v>
      </c>
      <c r="NI15" s="6">
        <f t="shared" si="187"/>
        <v>2128.4106244627997</v>
      </c>
      <c r="NJ15" s="6">
        <v>6.8915339000000007</v>
      </c>
      <c r="NK15" s="6">
        <f t="shared" si="188"/>
        <v>2111.1524949260001</v>
      </c>
      <c r="NL15" s="6">
        <f t="shared" si="189"/>
        <v>17.258129536799828</v>
      </c>
      <c r="NN15" s="5">
        <v>46066</v>
      </c>
      <c r="NO15" s="6">
        <v>790818.10390686803</v>
      </c>
      <c r="NP15" s="6">
        <f t="shared" si="190"/>
        <v>1995.3168273634208</v>
      </c>
      <c r="NQ15" s="6">
        <v>730491.66041754908</v>
      </c>
      <c r="NR15" s="6">
        <f t="shared" si="191"/>
        <v>1843.1068978808225</v>
      </c>
      <c r="NS15" s="6">
        <f t="shared" si="192"/>
        <v>3838.4237252442435</v>
      </c>
      <c r="NT15" s="6"/>
      <c r="NU15" s="6">
        <f t="shared" si="193"/>
        <v>60326.443489318946</v>
      </c>
      <c r="NV15" s="6">
        <f t="shared" si="194"/>
        <v>152.20992948259843</v>
      </c>
      <c r="NW15" s="6">
        <v>288662.34680200001</v>
      </c>
      <c r="NX15" s="6">
        <f t="shared" si="195"/>
        <v>1919.6046062333</v>
      </c>
      <c r="NY15" s="6">
        <v>325060.27647299989</v>
      </c>
      <c r="NZ15" s="6">
        <f t="shared" si="196"/>
        <v>2161.650838545449</v>
      </c>
      <c r="OA15" s="6">
        <f t="shared" si="197"/>
        <v>-242.04623231214916</v>
      </c>
      <c r="OC15" s="5">
        <v>46066</v>
      </c>
      <c r="OD15" s="6">
        <v>568950.70828854199</v>
      </c>
      <c r="OE15" s="6">
        <f t="shared" si="198"/>
        <v>1435.5221720141069</v>
      </c>
      <c r="OF15" s="6">
        <v>511181.52868418209</v>
      </c>
      <c r="OG15" s="6">
        <f t="shared" si="199"/>
        <v>1289.7644869053531</v>
      </c>
      <c r="OH15" s="6">
        <f t="shared" si="200"/>
        <v>2725.28665891946</v>
      </c>
      <c r="OI15" s="6"/>
      <c r="OJ15" s="6">
        <f t="shared" si="201"/>
        <v>57769.179604359902</v>
      </c>
      <c r="OK15" s="6">
        <f t="shared" si="202"/>
        <v>145.75768510875383</v>
      </c>
      <c r="OL15" s="6">
        <v>201568.48265200001</v>
      </c>
      <c r="OM15" s="6">
        <f t="shared" si="203"/>
        <v>1340.4304096358001</v>
      </c>
      <c r="ON15" s="6">
        <v>233232.42292700001</v>
      </c>
      <c r="OO15" s="6">
        <f t="shared" si="204"/>
        <v>1550.99561246455</v>
      </c>
      <c r="OP15" s="6">
        <f>(OL15-ON15)*N15</f>
        <v>-210.56520282874999</v>
      </c>
    </row>
    <row r="16" spans="1:406" x14ac:dyDescent="0.2">
      <c r="A16" s="5">
        <v>46067</v>
      </c>
      <c r="B16" s="10">
        <v>167.53</v>
      </c>
      <c r="C16" s="6">
        <v>76.14</v>
      </c>
      <c r="D16" s="6">
        <v>183.15</v>
      </c>
      <c r="E16" s="6">
        <v>463.46</v>
      </c>
      <c r="F16" s="6">
        <v>416.37</v>
      </c>
      <c r="G16" s="2">
        <v>2.3400000000000001E-3</v>
      </c>
      <c r="H16" s="6">
        <v>3.5859999999999999</v>
      </c>
      <c r="I16" s="6">
        <v>600.9</v>
      </c>
      <c r="J16" s="6">
        <v>135.38999999999999</v>
      </c>
      <c r="K16" s="6">
        <v>680.65</v>
      </c>
      <c r="L16" s="6">
        <v>60.34</v>
      </c>
      <c r="M16" s="6">
        <v>306.18</v>
      </c>
      <c r="N16" s="6">
        <v>7.8700000000000003E-3</v>
      </c>
      <c r="O16" s="6">
        <v>88.064999999999998</v>
      </c>
      <c r="P16" s="7">
        <v>3.082E-5</v>
      </c>
      <c r="R16" s="5">
        <v>46067</v>
      </c>
      <c r="S16" s="6">
        <v>814218.95570941491</v>
      </c>
      <c r="T16" s="6">
        <f t="shared" si="0"/>
        <v>2209.9232077508195</v>
      </c>
      <c r="U16" s="6">
        <v>811098.077697061</v>
      </c>
      <c r="V16" s="6">
        <f t="shared" si="1"/>
        <v>2201.4526351859113</v>
      </c>
      <c r="W16" s="6">
        <f t="shared" si="2"/>
        <v>4411.3758429367308</v>
      </c>
      <c r="X16" s="6"/>
      <c r="Y16" s="6">
        <f t="shared" si="3"/>
        <v>3120.8780123539036</v>
      </c>
      <c r="Z16" s="6">
        <f t="shared" si="4"/>
        <v>8.4705725649079113</v>
      </c>
      <c r="AA16" s="6">
        <v>12.78161055</v>
      </c>
      <c r="AB16" s="6">
        <f t="shared" si="5"/>
        <v>2141.3032154415</v>
      </c>
      <c r="AC16" s="6">
        <v>13.08814559</v>
      </c>
      <c r="AD16" s="6">
        <f t="shared" si="6"/>
        <v>2192.6570306927001</v>
      </c>
      <c r="AE16" s="6">
        <f t="shared" si="7"/>
        <v>-51.353815251199997</v>
      </c>
      <c r="AG16" s="5">
        <v>46067</v>
      </c>
      <c r="AH16" s="6">
        <v>801749.36195044802</v>
      </c>
      <c r="AI16" s="6">
        <f t="shared" si="8"/>
        <v>2176.0786940043222</v>
      </c>
      <c r="AJ16" s="6">
        <v>811107.85710460506</v>
      </c>
      <c r="AK16" s="6">
        <f t="shared" si="9"/>
        <v>2201.4791780949631</v>
      </c>
      <c r="AL16" s="6">
        <f t="shared" si="10"/>
        <v>4377.5578720992853</v>
      </c>
      <c r="AM16" s="6"/>
      <c r="AN16" s="6">
        <f t="shared" si="11"/>
        <v>-9358.4951541570481</v>
      </c>
      <c r="AO16" s="6">
        <f t="shared" si="12"/>
        <v>-25.400484090640905</v>
      </c>
      <c r="AP16" s="6">
        <v>12.78043295</v>
      </c>
      <c r="AQ16" s="6">
        <f t="shared" si="13"/>
        <v>2141.1059321134999</v>
      </c>
      <c r="AR16" s="6">
        <v>12.89397215</v>
      </c>
      <c r="AS16" s="6">
        <f t="shared" si="14"/>
        <v>2160.1271542895001</v>
      </c>
      <c r="AT16" s="6">
        <f t="shared" si="15"/>
        <v>-19.021222175999991</v>
      </c>
      <c r="AV16" s="5">
        <v>46067</v>
      </c>
      <c r="AW16" s="6">
        <v>790598.16223135602</v>
      </c>
      <c r="AX16" s="6">
        <f t="shared" si="16"/>
        <v>2145.8125169757927</v>
      </c>
      <c r="AY16" s="6">
        <v>814767.63503657305</v>
      </c>
      <c r="AZ16" s="6">
        <f t="shared" si="17"/>
        <v>2211.4124130440609</v>
      </c>
      <c r="BA16" s="6">
        <f t="shared" si="18"/>
        <v>4357.2249300198537</v>
      </c>
      <c r="BB16" s="6"/>
      <c r="BC16" s="6">
        <f t="shared" si="206"/>
        <v>-24169.472805217025</v>
      </c>
      <c r="BD16" s="6">
        <f t="shared" si="19"/>
        <v>-65.599896068268094</v>
      </c>
      <c r="BE16" s="6">
        <v>27.90092228</v>
      </c>
      <c r="BF16" s="6">
        <f t="shared" si="20"/>
        <v>2124.3762223991998</v>
      </c>
      <c r="BG16" s="6">
        <v>27.628061890000001</v>
      </c>
      <c r="BH16" s="6">
        <f t="shared" si="21"/>
        <v>2103.6006323045999</v>
      </c>
      <c r="BI16" s="6">
        <f t="shared" si="22"/>
        <v>20.77559009459986</v>
      </c>
      <c r="BK16" s="5">
        <v>46067</v>
      </c>
      <c r="BL16" s="6">
        <v>822046.03861758194</v>
      </c>
      <c r="BM16" s="6">
        <f t="shared" si="23"/>
        <v>2231.1671889262234</v>
      </c>
      <c r="BN16" s="6">
        <v>814767.63503657305</v>
      </c>
      <c r="BO16" s="6">
        <f t="shared" si="24"/>
        <v>2211.4124130440609</v>
      </c>
      <c r="BP16" s="6">
        <f t="shared" si="25"/>
        <v>4442.5796019702848</v>
      </c>
      <c r="BQ16" s="6"/>
      <c r="BR16" s="6">
        <f t="shared" si="26"/>
        <v>7278.4035810088972</v>
      </c>
      <c r="BS16" s="6">
        <f t="shared" si="27"/>
        <v>19.754775882162924</v>
      </c>
      <c r="BT16" s="6">
        <v>27.897084889999999</v>
      </c>
      <c r="BU16" s="6">
        <f t="shared" si="28"/>
        <v>2124.0840435246</v>
      </c>
      <c r="BV16" s="6">
        <v>28.72750628</v>
      </c>
      <c r="BW16" s="6">
        <f t="shared" si="29"/>
        <v>2187.3123281592002</v>
      </c>
      <c r="BX16" s="6">
        <f>(BT16-BV16)*C16</f>
        <v>-63.228284634600115</v>
      </c>
      <c r="BZ16" s="5">
        <v>46067</v>
      </c>
      <c r="CA16" s="6">
        <v>812294.82120012003</v>
      </c>
      <c r="CB16" s="6">
        <f t="shared" si="31"/>
        <v>2204.7007924814275</v>
      </c>
      <c r="CC16" s="6">
        <v>821515.22927772894</v>
      </c>
      <c r="CD16" s="6">
        <f t="shared" si="32"/>
        <v>2229.7264856966976</v>
      </c>
      <c r="CE16" s="6">
        <f t="shared" si="33"/>
        <v>4434.4272781781256</v>
      </c>
      <c r="CF16" s="6"/>
      <c r="CG16" s="6">
        <f t="shared" si="34"/>
        <v>-9220.4080776089104</v>
      </c>
      <c r="CH16" s="6">
        <f t="shared" si="35"/>
        <v>-25.025693215269659</v>
      </c>
      <c r="CI16" s="6">
        <v>11.74193683</v>
      </c>
      <c r="CJ16" s="6">
        <f t="shared" si="36"/>
        <v>2150.5357304145</v>
      </c>
      <c r="CK16" s="6">
        <v>11.84532154</v>
      </c>
      <c r="CL16" s="6">
        <f t="shared" si="37"/>
        <v>2169.4706400510004</v>
      </c>
      <c r="CM16" s="6">
        <f t="shared" si="38"/>
        <v>-18.934909636500048</v>
      </c>
      <c r="CO16" s="5">
        <v>46067</v>
      </c>
      <c r="CP16" s="6">
        <v>812244.07840147405</v>
      </c>
      <c r="CQ16" s="6">
        <f t="shared" si="39"/>
        <v>2204.5630682396036</v>
      </c>
      <c r="CR16" s="6">
        <v>823566.83343807608</v>
      </c>
      <c r="CS16" s="6">
        <f t="shared" si="40"/>
        <v>2235.2948744148389</v>
      </c>
      <c r="CT16" s="6">
        <f t="shared" si="41"/>
        <v>4439.857942654442</v>
      </c>
      <c r="CU16" s="6"/>
      <c r="CV16" s="6">
        <f t="shared" si="42"/>
        <v>-11322.75503660203</v>
      </c>
      <c r="CW16" s="6">
        <f t="shared" si="43"/>
        <v>-30.731806175235384</v>
      </c>
      <c r="CX16" s="6">
        <v>11.762740259999999</v>
      </c>
      <c r="CY16" s="6">
        <f t="shared" si="44"/>
        <v>2154.3458786189999</v>
      </c>
      <c r="CZ16" s="6">
        <v>11.84532154</v>
      </c>
      <c r="DA16" s="6">
        <f t="shared" si="45"/>
        <v>2169.4706400510004</v>
      </c>
      <c r="DB16" s="6">
        <f t="shared" si="46"/>
        <v>-15.12476143200022</v>
      </c>
      <c r="DD16" s="5">
        <v>46067</v>
      </c>
      <c r="DE16" s="6">
        <v>815935.73865412001</v>
      </c>
      <c r="DF16" s="6">
        <f t="shared" si="47"/>
        <v>2214.5828370134036</v>
      </c>
      <c r="DG16" s="6">
        <v>814428.48146409495</v>
      </c>
      <c r="DH16" s="6">
        <f t="shared" si="48"/>
        <v>2210.4918948645768</v>
      </c>
      <c r="DI16" s="6">
        <f t="shared" si="49"/>
        <v>4425.0747318779804</v>
      </c>
      <c r="DJ16" s="6"/>
      <c r="DK16" s="6">
        <f t="shared" si="50"/>
        <v>1507.2571900250623</v>
      </c>
      <c r="DL16" s="6">
        <f t="shared" si="51"/>
        <v>4.0909421488271498</v>
      </c>
      <c r="DM16" s="6">
        <v>4.61353393</v>
      </c>
      <c r="DN16" s="6">
        <f t="shared" si="52"/>
        <v>2138.1884351978001</v>
      </c>
      <c r="DO16" s="6">
        <v>4.7166098999999999</v>
      </c>
      <c r="DP16" s="6">
        <f t="shared" si="53"/>
        <v>2185.960024254</v>
      </c>
      <c r="DQ16" s="6">
        <f t="shared" si="54"/>
        <v>-47.771589056199957</v>
      </c>
      <c r="DS16" s="5">
        <v>46067</v>
      </c>
      <c r="DT16" s="6">
        <v>810177.52769122191</v>
      </c>
      <c r="DU16" s="6">
        <f t="shared" si="55"/>
        <v>2198.954112144248</v>
      </c>
      <c r="DV16" s="6">
        <v>814428.48146409495</v>
      </c>
      <c r="DW16" s="6">
        <f t="shared" si="56"/>
        <v>2210.4918948645768</v>
      </c>
      <c r="DX16" s="6">
        <f t="shared" si="57"/>
        <v>4409.4460070088244</v>
      </c>
      <c r="DY16" s="6"/>
      <c r="DZ16" s="6">
        <f t="shared" si="58"/>
        <v>-4250.9537728730356</v>
      </c>
      <c r="EA16" s="6">
        <f t="shared" si="59"/>
        <v>-11.537782720328529</v>
      </c>
      <c r="EB16" s="6">
        <v>4.6133552099999999</v>
      </c>
      <c r="EC16" s="6">
        <f t="shared" si="60"/>
        <v>2138.1056056265998</v>
      </c>
      <c r="ED16" s="6">
        <v>4.6861861100000004</v>
      </c>
      <c r="EE16" s="6">
        <f t="shared" si="61"/>
        <v>2171.8598145405999</v>
      </c>
      <c r="EF16" s="6">
        <f t="shared" si="62"/>
        <v>-33.754208914000216</v>
      </c>
      <c r="EH16" s="5">
        <v>46067</v>
      </c>
      <c r="EI16" s="6">
        <v>2258487.5507167489</v>
      </c>
      <c r="EJ16" s="6">
        <f t="shared" si="63"/>
        <v>6129.9040236622886</v>
      </c>
      <c r="EK16" s="6">
        <v>2268890.8060359959</v>
      </c>
      <c r="EL16" s="6">
        <f t="shared" si="64"/>
        <v>6158.1401574503188</v>
      </c>
      <c r="EM16" s="6">
        <f t="shared" si="65"/>
        <v>12288.044181112607</v>
      </c>
      <c r="EN16" s="6"/>
      <c r="EO16" s="6">
        <f t="shared" si="66"/>
        <v>-10403.255319247022</v>
      </c>
      <c r="EP16" s="6">
        <f t="shared" si="67"/>
        <v>-28.236133788030052</v>
      </c>
      <c r="EQ16" s="6">
        <v>14.448455600000001</v>
      </c>
      <c r="ER16" s="6">
        <f t="shared" si="68"/>
        <v>6015.9034581720007</v>
      </c>
      <c r="ES16" s="6">
        <v>14.440742159999999</v>
      </c>
      <c r="ET16" s="6">
        <f t="shared" si="69"/>
        <v>6012.6918131592001</v>
      </c>
      <c r="EU16" s="6">
        <f t="shared" si="70"/>
        <v>3.2116450128006768</v>
      </c>
      <c r="EW16" s="5">
        <v>46067</v>
      </c>
      <c r="EX16" s="6">
        <v>2257450.769264963</v>
      </c>
      <c r="EY16" s="6">
        <f t="shared" si="71"/>
        <v>6127.090029495731</v>
      </c>
      <c r="EZ16" s="6">
        <v>2245447.4284753208</v>
      </c>
      <c r="FA16" s="6">
        <f t="shared" si="72"/>
        <v>6094.5110024470905</v>
      </c>
      <c r="FB16" s="6">
        <f t="shared" si="73"/>
        <v>12221.601031942821</v>
      </c>
      <c r="FC16" s="6"/>
      <c r="FD16" s="6">
        <f t="shared" si="74"/>
        <v>12003.340789642185</v>
      </c>
      <c r="FE16" s="6">
        <f t="shared" si="75"/>
        <v>32.579027048639837</v>
      </c>
      <c r="FF16" s="6">
        <v>14.264197429999999</v>
      </c>
      <c r="FG16" s="6">
        <f t="shared" si="76"/>
        <v>5939.1838839290995</v>
      </c>
      <c r="FH16" s="6">
        <v>14.440742159999999</v>
      </c>
      <c r="FI16" s="6">
        <f t="shared" si="77"/>
        <v>6012.6918131592001</v>
      </c>
      <c r="FJ16" s="6">
        <f>(FF16-FH16)*F16</f>
        <v>-73.507929230099919</v>
      </c>
      <c r="FL16" s="5">
        <v>46067</v>
      </c>
      <c r="FM16" s="6">
        <v>615673.34329400212</v>
      </c>
      <c r="FN16" s="6">
        <f t="shared" si="79"/>
        <v>1671.0379931568816</v>
      </c>
      <c r="FO16">
        <v>625447.63339495403</v>
      </c>
      <c r="FP16" s="6">
        <f t="shared" si="80"/>
        <v>1697.5670126324385</v>
      </c>
      <c r="FQ16" s="6">
        <f t="shared" si="81"/>
        <v>3368.6050057893199</v>
      </c>
      <c r="FR16" s="6"/>
      <c r="FS16" s="6">
        <f t="shared" si="82"/>
        <v>-9774.2901009519119</v>
      </c>
      <c r="FT16" s="6">
        <f t="shared" si="83"/>
        <v>-26.529019475556975</v>
      </c>
      <c r="FU16" s="6">
        <v>749993.3528949999</v>
      </c>
      <c r="FV16" s="6">
        <f t="shared" si="84"/>
        <v>1754.9844457742997</v>
      </c>
      <c r="FW16" s="6">
        <v>769065.1623480001</v>
      </c>
      <c r="FX16" s="6">
        <f t="shared" si="85"/>
        <v>1799.6124798943204</v>
      </c>
      <c r="FY16" s="6">
        <f t="shared" si="86"/>
        <v>-44.628034120020466</v>
      </c>
      <c r="GA16" s="5">
        <v>46067</v>
      </c>
      <c r="GB16" s="6">
        <v>615648.8230135591</v>
      </c>
      <c r="GC16" s="6">
        <f t="shared" si="87"/>
        <v>1670.9714411115974</v>
      </c>
      <c r="GD16" s="6">
        <v>631091.274708112</v>
      </c>
      <c r="GE16" s="6">
        <f t="shared" si="88"/>
        <v>1712.8847767629757</v>
      </c>
      <c r="GF16" s="6">
        <f t="shared" si="89"/>
        <v>3383.8562178745733</v>
      </c>
      <c r="GG16" s="6"/>
      <c r="GH16" s="6">
        <f t="shared" si="90"/>
        <v>-15442.451694552903</v>
      </c>
      <c r="GI16" s="6">
        <f t="shared" si="91"/>
        <v>-41.913335651378297</v>
      </c>
      <c r="GJ16" s="6">
        <v>756829.27956700011</v>
      </c>
      <c r="GK16" s="6">
        <f t="shared" si="92"/>
        <v>1770.9805141867803</v>
      </c>
      <c r="GL16" s="6">
        <v>769065.1623480001</v>
      </c>
      <c r="GM16" s="6">
        <f t="shared" si="93"/>
        <v>1799.6124798943204</v>
      </c>
      <c r="GN16" s="6">
        <f t="shared" si="94"/>
        <v>-28.631965707539983</v>
      </c>
      <c r="GP16" s="5">
        <v>46067</v>
      </c>
      <c r="GQ16" s="6">
        <v>613020.17832948989</v>
      </c>
      <c r="GR16" s="6">
        <f t="shared" si="95"/>
        <v>1663.8368701813567</v>
      </c>
      <c r="GS16" s="6">
        <v>609413.49003418605</v>
      </c>
      <c r="GT16" s="6">
        <f t="shared" si="96"/>
        <v>1654.0477291757036</v>
      </c>
      <c r="GU16" s="6">
        <f t="shared" si="97"/>
        <v>3317.8845993570603</v>
      </c>
      <c r="GV16" s="6"/>
      <c r="GW16" s="6">
        <f t="shared" si="98"/>
        <v>3606.6882953038439</v>
      </c>
      <c r="GX16" s="6">
        <f t="shared" si="99"/>
        <v>9.7891410056532564</v>
      </c>
      <c r="GY16" s="6">
        <v>461.32003400000002</v>
      </c>
      <c r="GZ16" s="6">
        <f t="shared" si="100"/>
        <v>1654.293641924</v>
      </c>
      <c r="HA16" s="6">
        <v>483.13413100000002</v>
      </c>
      <c r="HB16" s="6">
        <f t="shared" si="101"/>
        <v>1732.518993766</v>
      </c>
      <c r="HC16" s="6">
        <f t="shared" si="207"/>
        <v>-78.225351842000009</v>
      </c>
      <c r="HE16" s="5">
        <v>46067</v>
      </c>
      <c r="HF16" s="6">
        <v>612970.57351356407</v>
      </c>
      <c r="HG16" s="6">
        <f t="shared" si="102"/>
        <v>1663.7022346104675</v>
      </c>
      <c r="HH16" s="6">
        <v>624287.85786850681</v>
      </c>
      <c r="HI16" s="6">
        <f t="shared" si="103"/>
        <v>1694.4191924623176</v>
      </c>
      <c r="HJ16" s="6">
        <f t="shared" si="104"/>
        <v>3358.1214270727851</v>
      </c>
      <c r="HK16" s="6"/>
      <c r="HL16" s="6">
        <f t="shared" si="105"/>
        <v>-11317.284354942734</v>
      </c>
      <c r="HM16" s="6">
        <f t="shared" si="106"/>
        <v>-30.716957851849745</v>
      </c>
      <c r="HN16" s="6">
        <v>472.358475</v>
      </c>
      <c r="HO16" s="6">
        <f t="shared" si="107"/>
        <v>1693.8774913499999</v>
      </c>
      <c r="HP16" s="6">
        <v>483.13413100000002</v>
      </c>
      <c r="HQ16" s="6">
        <f t="shared" si="108"/>
        <v>1732.518993766</v>
      </c>
      <c r="HR16" s="6">
        <f t="shared" si="109"/>
        <v>-38.641502416000094</v>
      </c>
      <c r="HT16" s="5">
        <v>46067</v>
      </c>
      <c r="HU16" s="6">
        <v>630126.00775559095</v>
      </c>
      <c r="HV16" s="6">
        <f t="shared" si="110"/>
        <v>1710.2648846257405</v>
      </c>
      <c r="HW16" s="6">
        <v>644897.47372652288</v>
      </c>
      <c r="HX16" s="6">
        <f t="shared" si="111"/>
        <v>1750.3570554512426</v>
      </c>
      <c r="HY16" s="6">
        <f t="shared" si="112"/>
        <v>3460.6219400769833</v>
      </c>
      <c r="HZ16" s="6"/>
      <c r="IA16" s="6">
        <f t="shared" si="113"/>
        <v>-14771.465970931924</v>
      </c>
      <c r="IB16" s="6">
        <f t="shared" si="114"/>
        <v>-40.092170825502293</v>
      </c>
      <c r="IC16" s="6">
        <v>2.7464155200000002</v>
      </c>
      <c r="ID16" s="6">
        <f t="shared" si="115"/>
        <v>1650.321085968</v>
      </c>
      <c r="IE16" s="6">
        <v>2.7946062399999998</v>
      </c>
      <c r="IF16" s="6">
        <f t="shared" si="116"/>
        <v>1679.2788896159998</v>
      </c>
      <c r="IG16" s="6">
        <f t="shared" si="117"/>
        <v>-28.957803647999743</v>
      </c>
      <c r="II16" s="5">
        <v>46067</v>
      </c>
      <c r="IJ16" s="6">
        <v>629222.60008711403</v>
      </c>
      <c r="IK16" s="6">
        <f t="shared" si="118"/>
        <v>1707.8128886870218</v>
      </c>
      <c r="IL16" s="6">
        <v>644897.47372652288</v>
      </c>
      <c r="IM16" s="6">
        <f t="shared" si="119"/>
        <v>1750.3570554512426</v>
      </c>
      <c r="IN16" s="6">
        <f t="shared" si="120"/>
        <v>3458.1699441382643</v>
      </c>
      <c r="IO16" s="6"/>
      <c r="IP16" s="6">
        <f t="shared" si="121"/>
        <v>-15674.873639408848</v>
      </c>
      <c r="IQ16" s="6">
        <f t="shared" si="122"/>
        <v>-42.544166764220932</v>
      </c>
      <c r="IR16" s="6">
        <v>2.7463023600000001</v>
      </c>
      <c r="IS16" s="6">
        <f t="shared" si="123"/>
        <v>1650.253088124</v>
      </c>
      <c r="IT16" s="6">
        <v>2.7931909899999989</v>
      </c>
      <c r="IU16" s="6">
        <f t="shared" si="124"/>
        <v>1678.4284658909994</v>
      </c>
      <c r="IV16" s="6">
        <f t="shared" si="125"/>
        <v>-28.175377766999326</v>
      </c>
      <c r="IX16" s="5">
        <v>46067</v>
      </c>
      <c r="IY16" s="6">
        <v>814352.877298609</v>
      </c>
      <c r="IZ16" s="6">
        <f t="shared" si="126"/>
        <v>2210.2866928132876</v>
      </c>
      <c r="JA16" s="6">
        <v>814516.61645604088</v>
      </c>
      <c r="JB16" s="6">
        <f t="shared" si="127"/>
        <v>2210.7311076251622</v>
      </c>
      <c r="JC16" s="6">
        <f t="shared" si="128"/>
        <v>4421.0178004384497</v>
      </c>
      <c r="JD16" s="6"/>
      <c r="JE16" s="6">
        <f t="shared" si="129"/>
        <v>-163.73915743187536</v>
      </c>
      <c r="JF16" s="6">
        <f t="shared" si="130"/>
        <v>-0.44441481187451831</v>
      </c>
      <c r="JG16" s="6">
        <v>15.884385999999999</v>
      </c>
      <c r="JH16" s="6">
        <f t="shared" si="131"/>
        <v>2150.5870205399997</v>
      </c>
      <c r="JI16" s="6">
        <v>16.201676039999999</v>
      </c>
      <c r="JJ16" s="6">
        <f t="shared" si="132"/>
        <v>2193.5449190555996</v>
      </c>
      <c r="JK16" s="6">
        <f t="shared" si="133"/>
        <v>-42.957898515599943</v>
      </c>
      <c r="JM16" s="5">
        <v>46067</v>
      </c>
      <c r="JN16" s="6">
        <v>804044.64280204999</v>
      </c>
      <c r="JO16" s="6">
        <f t="shared" si="134"/>
        <v>2182.3084610549331</v>
      </c>
      <c r="JP16" s="6">
        <v>814516.61645604088</v>
      </c>
      <c r="JQ16" s="6">
        <f t="shared" si="135"/>
        <v>2210.7311076251622</v>
      </c>
      <c r="JR16" s="6">
        <f t="shared" si="136"/>
        <v>4393.0395686800948</v>
      </c>
      <c r="JS16" s="6"/>
      <c r="JT16" s="6">
        <f t="shared" si="137"/>
        <v>-10471.973653990892</v>
      </c>
      <c r="JU16" s="6">
        <f t="shared" si="138"/>
        <v>-28.422646570228977</v>
      </c>
      <c r="JV16" s="6">
        <v>15.883119799999999</v>
      </c>
      <c r="JW16" s="6">
        <f t="shared" si="139"/>
        <v>2150.4155897219998</v>
      </c>
      <c r="JX16" s="6">
        <v>16.006616409999999</v>
      </c>
      <c r="JY16" s="6">
        <f t="shared" si="140"/>
        <v>2167.1357957498999</v>
      </c>
      <c r="JZ16" s="6">
        <f t="shared" si="141"/>
        <v>-16.720206027900016</v>
      </c>
      <c r="KB16" s="5">
        <v>46067</v>
      </c>
      <c r="KC16" s="6">
        <v>808714.28728433303</v>
      </c>
      <c r="KD16" s="6">
        <f t="shared" si="142"/>
        <v>2194.9826387327935</v>
      </c>
      <c r="KE16" s="6">
        <v>814455.959435091</v>
      </c>
      <c r="KF16" s="6">
        <f t="shared" si="143"/>
        <v>2210.5664745650129</v>
      </c>
      <c r="KG16" s="6">
        <f t="shared" si="144"/>
        <v>4405.5491132978059</v>
      </c>
      <c r="KH16" s="6"/>
      <c r="KI16" s="6">
        <f t="shared" si="145"/>
        <v>-5741.6721507579787</v>
      </c>
      <c r="KJ16" s="6">
        <f t="shared" si="146"/>
        <v>-15.583835832219373</v>
      </c>
      <c r="KK16" s="6">
        <v>3.1227542110000002</v>
      </c>
      <c r="KL16" s="6">
        <f t="shared" si="147"/>
        <v>2125.5026537171502</v>
      </c>
      <c r="KM16" s="6">
        <v>3.1641408819999999</v>
      </c>
      <c r="KN16" s="6">
        <f t="shared" si="148"/>
        <v>2153.6724913333001</v>
      </c>
      <c r="KO16" s="6">
        <f t="shared" si="149"/>
        <v>-28.169837616149799</v>
      </c>
      <c r="KQ16" s="5">
        <v>46067</v>
      </c>
      <c r="KR16" s="6">
        <v>811897.75237890496</v>
      </c>
      <c r="KS16" s="6">
        <f t="shared" si="150"/>
        <v>2203.6230828593111</v>
      </c>
      <c r="KT16" s="6">
        <v>814455.959435091</v>
      </c>
      <c r="KU16" s="6">
        <f t="shared" si="151"/>
        <v>2210.5664745650129</v>
      </c>
      <c r="KV16" s="6">
        <f t="shared" si="152"/>
        <v>4414.1895574243244</v>
      </c>
      <c r="KW16" s="6"/>
      <c r="KX16" s="6">
        <f t="shared" si="153"/>
        <v>-2558.2070561860455</v>
      </c>
      <c r="KY16" s="6">
        <f t="shared" si="154"/>
        <v>-6.9433917057012025</v>
      </c>
      <c r="KZ16" s="6">
        <v>3.1225523420000001</v>
      </c>
      <c r="LA16" s="6">
        <f t="shared" si="155"/>
        <v>2125.3652515823001</v>
      </c>
      <c r="LB16" s="6">
        <v>3.176070749</v>
      </c>
      <c r="LC16" s="6">
        <f t="shared" si="156"/>
        <v>2161.7925553068499</v>
      </c>
      <c r="LD16" s="6">
        <f t="shared" si="157"/>
        <v>-36.427303724549915</v>
      </c>
      <c r="LF16" s="5">
        <v>46067</v>
      </c>
      <c r="LG16" s="6">
        <v>811202.98619783996</v>
      </c>
      <c r="LH16" s="6">
        <f t="shared" si="158"/>
        <v>2201.7373739885834</v>
      </c>
      <c r="LI16" s="6">
        <v>821949.56472152087</v>
      </c>
      <c r="LJ16" s="6">
        <f t="shared" si="159"/>
        <v>2230.9053430181266</v>
      </c>
      <c r="LK16" s="6">
        <f t="shared" si="160"/>
        <v>4432.64271700671</v>
      </c>
      <c r="LL16" s="6"/>
      <c r="LM16" s="6">
        <f t="shared" si="161"/>
        <v>-10746.578523680917</v>
      </c>
      <c r="LN16" s="6">
        <f t="shared" si="162"/>
        <v>-29.167969029542927</v>
      </c>
      <c r="LO16" s="6">
        <v>35.652489829999993</v>
      </c>
      <c r="LP16" s="6">
        <f t="shared" si="163"/>
        <v>2151.2712363421997</v>
      </c>
      <c r="LQ16" s="6">
        <v>35.900302539999998</v>
      </c>
      <c r="LR16" s="6">
        <f t="shared" si="164"/>
        <v>2166.2242552635998</v>
      </c>
      <c r="LS16" s="6">
        <f t="shared" si="165"/>
        <v>-14.953018921400313</v>
      </c>
      <c r="LU16" s="5">
        <v>46067</v>
      </c>
      <c r="LV16" s="6">
        <v>811153.88826156105</v>
      </c>
      <c r="LW16" s="6">
        <f t="shared" si="166"/>
        <v>2201.6041141718297</v>
      </c>
      <c r="LX16" s="6">
        <v>825330.14782326692</v>
      </c>
      <c r="LY16" s="6">
        <f t="shared" si="167"/>
        <v>2240.0807976054857</v>
      </c>
      <c r="LZ16" s="6">
        <f t="shared" si="168"/>
        <v>4441.6849117773154</v>
      </c>
      <c r="MA16" s="6"/>
      <c r="MB16" s="6">
        <f t="shared" si="169"/>
        <v>-14176.259561705869</v>
      </c>
      <c r="MC16" s="6">
        <f t="shared" si="170"/>
        <v>-38.476683433656149</v>
      </c>
      <c r="MD16" s="6">
        <v>35.789991100000002</v>
      </c>
      <c r="ME16" s="6">
        <f t="shared" si="171"/>
        <v>2159.5680629740004</v>
      </c>
      <c r="MF16" s="6">
        <v>35.900302539999998</v>
      </c>
      <c r="MG16" s="6">
        <f t="shared" si="172"/>
        <v>2166.2242552635998</v>
      </c>
      <c r="MH16" s="6">
        <f t="shared" si="173"/>
        <v>-6.6561922895998018</v>
      </c>
      <c r="MJ16" s="5">
        <v>46067</v>
      </c>
      <c r="MK16" s="6">
        <v>801388.95447943709</v>
      </c>
      <c r="ML16" s="6">
        <f t="shared" si="174"/>
        <v>2175.1004892734586</v>
      </c>
      <c r="MM16" s="6">
        <v>814416.94593552896</v>
      </c>
      <c r="MN16" s="6">
        <f t="shared" si="175"/>
        <v>2210.4605855562968</v>
      </c>
      <c r="MO16" s="6">
        <f t="shared" si="176"/>
        <v>4385.5610748297549</v>
      </c>
      <c r="MP16" s="6"/>
      <c r="MQ16" s="6">
        <f t="shared" si="177"/>
        <v>-13027.99145609187</v>
      </c>
      <c r="MR16" s="6">
        <f t="shared" si="178"/>
        <v>-35.360096282838114</v>
      </c>
      <c r="MS16" s="6">
        <v>6.9515305299999994</v>
      </c>
      <c r="MT16" s="6">
        <f t="shared" si="179"/>
        <v>2128.4196176753999</v>
      </c>
      <c r="MU16" s="6">
        <v>6.9789952099999999</v>
      </c>
      <c r="MV16" s="6">
        <f t="shared" si="180"/>
        <v>2136.8287533978</v>
      </c>
      <c r="MW16" s="6">
        <f t="shared" si="181"/>
        <v>-8.4091357224001424</v>
      </c>
      <c r="MY16" s="5">
        <v>46067</v>
      </c>
      <c r="MZ16" s="6">
        <v>798422.46201258281</v>
      </c>
      <c r="NA16" s="6">
        <f t="shared" si="182"/>
        <v>2167.0489442901962</v>
      </c>
      <c r="NB16" s="6">
        <v>814416.94593552896</v>
      </c>
      <c r="NC16" s="6">
        <f t="shared" si="183"/>
        <v>2210.4605855562968</v>
      </c>
      <c r="ND16" s="6">
        <f t="shared" si="184"/>
        <v>4377.509529846493</v>
      </c>
      <c r="NE16" s="6"/>
      <c r="NF16" s="6">
        <f t="shared" si="185"/>
        <v>-15994.48392294615</v>
      </c>
      <c r="NG16" s="6">
        <f t="shared" si="186"/>
        <v>-43.411641266100467</v>
      </c>
      <c r="NH16" s="6">
        <v>6.9509131999999996</v>
      </c>
      <c r="NI16" s="6">
        <f t="shared" si="187"/>
        <v>2128.2306035759998</v>
      </c>
      <c r="NJ16" s="6">
        <v>6.9579301699999991</v>
      </c>
      <c r="NK16" s="6">
        <f t="shared" si="188"/>
        <v>2130.3790594505999</v>
      </c>
      <c r="NL16" s="6">
        <f t="shared" si="189"/>
        <v>-2.1484558745998674</v>
      </c>
      <c r="NN16" s="5">
        <v>46067</v>
      </c>
      <c r="NO16" s="6">
        <v>792893.42390535213</v>
      </c>
      <c r="NP16" s="6">
        <f t="shared" si="190"/>
        <v>2152.0422319752493</v>
      </c>
      <c r="NQ16" s="6">
        <v>802944.9505316281</v>
      </c>
      <c r="NR16" s="6">
        <f t="shared" si="191"/>
        <v>2179.3237166532604</v>
      </c>
      <c r="NS16" s="6">
        <f t="shared" si="192"/>
        <v>4331.3659486285096</v>
      </c>
      <c r="NT16" s="6"/>
      <c r="NU16" s="6">
        <f t="shared" si="193"/>
        <v>-10051.526626275969</v>
      </c>
      <c r="NV16" s="6">
        <f t="shared" si="194"/>
        <v>-27.281484678011047</v>
      </c>
      <c r="NW16" s="6">
        <v>293596.47146199999</v>
      </c>
      <c r="NX16" s="6">
        <f t="shared" si="195"/>
        <v>2310.6042304059401</v>
      </c>
      <c r="NY16" s="6">
        <v>302992.73478099989</v>
      </c>
      <c r="NZ16" s="6">
        <f t="shared" si="196"/>
        <v>2384.552822726469</v>
      </c>
      <c r="OA16" s="6">
        <f t="shared" si="197"/>
        <v>-73.948592320529244</v>
      </c>
      <c r="OC16" s="5">
        <v>46067</v>
      </c>
      <c r="OD16" s="6">
        <v>792838.42640870786</v>
      </c>
      <c r="OE16" s="6">
        <f t="shared" si="198"/>
        <v>2151.8929597882657</v>
      </c>
      <c r="OF16" s="6">
        <v>790312.31595539674</v>
      </c>
      <c r="OG16" s="6">
        <f t="shared" si="199"/>
        <v>2145.0366835041423</v>
      </c>
      <c r="OH16" s="6">
        <f t="shared" si="200"/>
        <v>4296.9296432924075</v>
      </c>
      <c r="OI16" s="6"/>
      <c r="OJ16" s="6">
        <f t="shared" si="201"/>
        <v>2526.1104533111211</v>
      </c>
      <c r="OK16" s="6">
        <f t="shared" si="202"/>
        <v>6.8562762841234077</v>
      </c>
      <c r="OL16" s="6">
        <v>289781.45560599997</v>
      </c>
      <c r="OM16" s="6">
        <f t="shared" si="203"/>
        <v>2280.5800556192198</v>
      </c>
      <c r="ON16" s="6">
        <v>302992.73478099989</v>
      </c>
      <c r="OO16" s="6">
        <f t="shared" si="204"/>
        <v>2384.552822726469</v>
      </c>
      <c r="OP16" s="6">
        <f t="shared" si="205"/>
        <v>-103.97276710724934</v>
      </c>
    </row>
    <row r="17" spans="1:406" x14ac:dyDescent="0.2">
      <c r="A17" s="5">
        <v>46068</v>
      </c>
      <c r="B17" s="10">
        <v>167.51</v>
      </c>
      <c r="C17" s="6">
        <v>76.33</v>
      </c>
      <c r="D17" s="6">
        <v>183.15</v>
      </c>
      <c r="E17" s="6">
        <v>458.34</v>
      </c>
      <c r="F17" s="6">
        <v>417.82</v>
      </c>
      <c r="G17" s="2">
        <v>2.31E-3</v>
      </c>
      <c r="H17" s="6">
        <v>3.5249999999999999</v>
      </c>
      <c r="I17" s="6">
        <v>599.61</v>
      </c>
      <c r="J17" s="6">
        <v>136.15</v>
      </c>
      <c r="K17" s="6">
        <v>682.65</v>
      </c>
      <c r="L17" s="6">
        <v>60.43</v>
      </c>
      <c r="M17" s="6">
        <v>306.01</v>
      </c>
      <c r="N17" s="6">
        <v>7.6099999999999996E-3</v>
      </c>
      <c r="O17" s="6">
        <v>88.733000000000004</v>
      </c>
      <c r="P17" s="7">
        <v>3.0069999999999998E-5</v>
      </c>
      <c r="R17" s="5">
        <v>46068</v>
      </c>
      <c r="S17" s="6">
        <v>752676.85286228091</v>
      </c>
      <c r="T17" s="6">
        <f t="shared" si="0"/>
        <v>2008.2933648138151</v>
      </c>
      <c r="U17" s="6">
        <v>758653.19844342093</v>
      </c>
      <c r="V17" s="6">
        <f t="shared" si="1"/>
        <v>2024.2394579224256</v>
      </c>
      <c r="W17" s="6">
        <f t="shared" si="2"/>
        <v>4032.5328227362406</v>
      </c>
      <c r="X17" s="6"/>
      <c r="Y17" s="6">
        <f t="shared" si="3"/>
        <v>-5976.3455811400199</v>
      </c>
      <c r="Z17" s="6">
        <f t="shared" si="4"/>
        <v>-15.946093108610512</v>
      </c>
      <c r="AA17" s="6">
        <v>12.01415459</v>
      </c>
      <c r="AB17" s="6">
        <f t="shared" si="5"/>
        <v>2012.4910353708999</v>
      </c>
      <c r="AC17" s="6">
        <v>12.160716040000001</v>
      </c>
      <c r="AD17" s="6">
        <f t="shared" si="6"/>
        <v>2037.0415438604</v>
      </c>
      <c r="AE17" s="6">
        <f t="shared" si="7"/>
        <v>-24.550508489500015</v>
      </c>
      <c r="AG17" s="5">
        <v>46068</v>
      </c>
      <c r="AH17" s="6">
        <v>731414.34066757793</v>
      </c>
      <c r="AI17" s="6">
        <f t="shared" si="8"/>
        <v>1951.5607019220176</v>
      </c>
      <c r="AJ17" s="6">
        <v>758653.19844342093</v>
      </c>
      <c r="AK17" s="6">
        <f t="shared" si="9"/>
        <v>2024.2394579224256</v>
      </c>
      <c r="AL17" s="6">
        <f t="shared" si="10"/>
        <v>3975.8001598444434</v>
      </c>
      <c r="AM17" s="6"/>
      <c r="AN17" s="6">
        <f t="shared" si="11"/>
        <v>-27238.857775843004</v>
      </c>
      <c r="AO17" s="6">
        <f t="shared" si="12"/>
        <v>-72.678756000407986</v>
      </c>
      <c r="AP17" s="6">
        <v>12.012754279999999</v>
      </c>
      <c r="AQ17" s="6">
        <f t="shared" si="13"/>
        <v>2012.2564694427997</v>
      </c>
      <c r="AR17" s="6">
        <v>11.827501099999999</v>
      </c>
      <c r="AS17" s="6">
        <f t="shared" si="14"/>
        <v>1981.2247092609998</v>
      </c>
      <c r="AT17" s="6">
        <f t="shared" si="15"/>
        <v>31.031760181800021</v>
      </c>
      <c r="AV17" s="5">
        <v>46068</v>
      </c>
      <c r="AW17" s="6">
        <v>750199.45708768209</v>
      </c>
      <c r="AX17" s="6">
        <f t="shared" si="16"/>
        <v>2001.6831741626422</v>
      </c>
      <c r="AY17" s="6">
        <v>755656.31726992899</v>
      </c>
      <c r="AZ17" s="6">
        <f t="shared" si="17"/>
        <v>2016.2431756494002</v>
      </c>
      <c r="BA17" s="6">
        <f t="shared" si="18"/>
        <v>4017.9263498120426</v>
      </c>
      <c r="BB17" s="6"/>
      <c r="BC17" s="6">
        <f t="shared" si="206"/>
        <v>-5456.8601822468918</v>
      </c>
      <c r="BD17" s="6">
        <f t="shared" si="19"/>
        <v>-14.560001486757995</v>
      </c>
      <c r="BE17" s="6">
        <v>26.11118505</v>
      </c>
      <c r="BF17" s="6">
        <f t="shared" si="20"/>
        <v>1993.0667548664999</v>
      </c>
      <c r="BG17" s="6">
        <v>26.440951829999999</v>
      </c>
      <c r="BH17" s="6">
        <f t="shared" si="21"/>
        <v>2018.2378531838999</v>
      </c>
      <c r="BI17" s="6">
        <f t="shared" si="22"/>
        <v>-25.171098317399995</v>
      </c>
      <c r="BK17" s="5">
        <v>46068</v>
      </c>
      <c r="BL17" s="6">
        <v>739638.14971704292</v>
      </c>
      <c r="BM17" s="6">
        <f t="shared" si="23"/>
        <v>1973.5034800009898</v>
      </c>
      <c r="BN17" s="6">
        <v>755656.31726992899</v>
      </c>
      <c r="BO17" s="6">
        <f t="shared" si="24"/>
        <v>2016.2431756494002</v>
      </c>
      <c r="BP17" s="6">
        <f t="shared" si="25"/>
        <v>3989.74665565039</v>
      </c>
      <c r="BQ17" s="6"/>
      <c r="BR17" s="6">
        <f t="shared" si="26"/>
        <v>-16018.167552886065</v>
      </c>
      <c r="BS17" s="6">
        <f t="shared" si="27"/>
        <v>-42.739695648410091</v>
      </c>
      <c r="BT17" s="6">
        <v>26.107709570000001</v>
      </c>
      <c r="BU17" s="6">
        <f t="shared" si="28"/>
        <v>1992.8014714781</v>
      </c>
      <c r="BV17" s="6">
        <v>26.0864552</v>
      </c>
      <c r="BW17" s="6">
        <f t="shared" si="29"/>
        <v>1991.179125416</v>
      </c>
      <c r="BX17" s="6">
        <f t="shared" si="30"/>
        <v>1.6223460621000907</v>
      </c>
      <c r="BZ17" s="5">
        <v>46068</v>
      </c>
      <c r="CA17" s="6">
        <v>748152.49567190395</v>
      </c>
      <c r="CB17" s="6">
        <f t="shared" si="31"/>
        <v>1996.2214690315434</v>
      </c>
      <c r="CC17" s="6">
        <v>745991.91927396506</v>
      </c>
      <c r="CD17" s="6">
        <f t="shared" si="32"/>
        <v>1990.456616256208</v>
      </c>
      <c r="CE17" s="6">
        <f t="shared" si="33"/>
        <v>3986.6780852877514</v>
      </c>
      <c r="CF17" s="6"/>
      <c r="CG17" s="6">
        <f t="shared" si="34"/>
        <v>2160.5763979388867</v>
      </c>
      <c r="CH17" s="6">
        <f t="shared" si="35"/>
        <v>5.7648527753356182</v>
      </c>
      <c r="CI17" s="6">
        <v>10.77442458</v>
      </c>
      <c r="CJ17" s="6">
        <f t="shared" si="36"/>
        <v>1973.3358618269999</v>
      </c>
      <c r="CK17" s="6">
        <v>11.019387979999999</v>
      </c>
      <c r="CL17" s="6">
        <f t="shared" si="37"/>
        <v>2018.200908537</v>
      </c>
      <c r="CM17" s="6">
        <f t="shared" si="38"/>
        <v>-44.86504670999993</v>
      </c>
      <c r="CO17" s="5">
        <v>46068</v>
      </c>
      <c r="CP17" s="6">
        <v>748111.96565965307</v>
      </c>
      <c r="CQ17" s="6">
        <f t="shared" si="39"/>
        <v>1996.1133267997616</v>
      </c>
      <c r="CR17" s="6">
        <v>772577.63909743901</v>
      </c>
      <c r="CS17" s="6">
        <f t="shared" si="40"/>
        <v>2061.392668716494</v>
      </c>
      <c r="CT17" s="6">
        <f t="shared" si="41"/>
        <v>4057.5059955162556</v>
      </c>
      <c r="CU17" s="6"/>
      <c r="CV17" s="6">
        <f t="shared" si="42"/>
        <v>-24465.673437785939</v>
      </c>
      <c r="CW17" s="6">
        <f t="shared" si="43"/>
        <v>-65.279341916732648</v>
      </c>
      <c r="CX17" s="6">
        <v>11.1523469</v>
      </c>
      <c r="CY17" s="6">
        <f t="shared" si="44"/>
        <v>2042.5523347349999</v>
      </c>
      <c r="CZ17" s="6">
        <v>11.019387979999999</v>
      </c>
      <c r="DA17" s="6">
        <f t="shared" si="45"/>
        <v>2018.200908537</v>
      </c>
      <c r="DB17" s="6">
        <f t="shared" si="46"/>
        <v>24.351426198000016</v>
      </c>
      <c r="DD17" s="5">
        <v>46068</v>
      </c>
      <c r="DE17" s="6">
        <v>726841.53550835594</v>
      </c>
      <c r="DF17" s="6">
        <f t="shared" si="47"/>
        <v>1939.3595372058066</v>
      </c>
      <c r="DG17" s="6">
        <v>755454.80796925805</v>
      </c>
      <c r="DH17" s="6">
        <f t="shared" si="48"/>
        <v>2015.7055082693728</v>
      </c>
      <c r="DI17" s="6">
        <f t="shared" si="49"/>
        <v>3955.0650454751794</v>
      </c>
      <c r="DJ17" s="6"/>
      <c r="DK17" s="6">
        <f t="shared" si="50"/>
        <v>-28613.27246090211</v>
      </c>
      <c r="DL17" s="6">
        <f t="shared" si="51"/>
        <v>-76.345971063565926</v>
      </c>
      <c r="DM17" s="6">
        <v>4.3228890399999997</v>
      </c>
      <c r="DN17" s="6">
        <f t="shared" si="52"/>
        <v>1981.3529625935998</v>
      </c>
      <c r="DO17" s="6">
        <v>4.2458961300000002</v>
      </c>
      <c r="DP17" s="6">
        <f t="shared" si="53"/>
        <v>1946.0640322242</v>
      </c>
      <c r="DQ17" s="6">
        <f t="shared" si="54"/>
        <v>35.288930369399779</v>
      </c>
      <c r="DS17" s="5">
        <v>46068</v>
      </c>
      <c r="DT17" s="6">
        <v>762363.18274055899</v>
      </c>
      <c r="DU17" s="6">
        <f t="shared" si="55"/>
        <v>2034.1384428841291</v>
      </c>
      <c r="DV17" s="6">
        <v>782176.96772975591</v>
      </c>
      <c r="DW17" s="6">
        <f t="shared" si="56"/>
        <v>2087.0056099483622</v>
      </c>
      <c r="DX17" s="6">
        <f t="shared" si="57"/>
        <v>4121.1440528324911</v>
      </c>
      <c r="DY17" s="6"/>
      <c r="DZ17" s="6">
        <f t="shared" si="58"/>
        <v>-19813.784989196924</v>
      </c>
      <c r="EA17" s="6">
        <f t="shared" si="59"/>
        <v>-52.86716706423357</v>
      </c>
      <c r="EB17" s="6">
        <v>4.4742972400000003</v>
      </c>
      <c r="EC17" s="6">
        <f t="shared" si="60"/>
        <v>2050.7493969816001</v>
      </c>
      <c r="ED17" s="6">
        <v>4.4499153599999994</v>
      </c>
      <c r="EE17" s="6">
        <f t="shared" si="61"/>
        <v>2039.5742061023996</v>
      </c>
      <c r="EF17" s="6">
        <f t="shared" si="62"/>
        <v>11.175190879200391</v>
      </c>
      <c r="EH17" s="5">
        <v>46068</v>
      </c>
      <c r="EI17" s="6">
        <v>2199217.772259457</v>
      </c>
      <c r="EJ17" s="6">
        <f t="shared" si="63"/>
        <v>5867.9557409179642</v>
      </c>
      <c r="EK17" s="6">
        <v>2178089.4834557311</v>
      </c>
      <c r="EL17" s="6">
        <f t="shared" si="64"/>
        <v>5811.5812130538052</v>
      </c>
      <c r="EM17" s="6">
        <f t="shared" si="65"/>
        <v>11679.536953971769</v>
      </c>
      <c r="EN17" s="6"/>
      <c r="EO17" s="6">
        <f t="shared" si="66"/>
        <v>21128.288803725969</v>
      </c>
      <c r="EP17" s="6">
        <f t="shared" si="67"/>
        <v>56.374527864159965</v>
      </c>
      <c r="EQ17" s="6">
        <v>13.82762486</v>
      </c>
      <c r="ER17" s="6">
        <f t="shared" si="68"/>
        <v>5777.4582190051997</v>
      </c>
      <c r="ES17" s="6">
        <v>14.024444280000001</v>
      </c>
      <c r="ET17" s="6">
        <f t="shared" si="69"/>
        <v>5859.6933090696002</v>
      </c>
      <c r="EU17" s="6">
        <f t="shared" si="70"/>
        <v>-82.235090064400268</v>
      </c>
      <c r="EW17" s="5">
        <v>46068</v>
      </c>
      <c r="EX17" s="6">
        <v>2203843.287262531</v>
      </c>
      <c r="EY17" s="6">
        <f t="shared" si="71"/>
        <v>5880.2975461085916</v>
      </c>
      <c r="EZ17" s="6">
        <v>2232924.5726341028</v>
      </c>
      <c r="FA17" s="6">
        <f t="shared" si="72"/>
        <v>5957.8922698335027</v>
      </c>
      <c r="FB17" s="6">
        <f t="shared" si="73"/>
        <v>11838.189815942094</v>
      </c>
      <c r="FC17" s="6"/>
      <c r="FD17" s="6">
        <f t="shared" si="74"/>
        <v>-29081.285371571779</v>
      </c>
      <c r="FE17" s="6">
        <f t="shared" si="75"/>
        <v>-77.59472372491166</v>
      </c>
      <c r="FF17" s="6">
        <v>14.149988949999999</v>
      </c>
      <c r="FG17" s="6">
        <f t="shared" si="76"/>
        <v>5912.1483830889993</v>
      </c>
      <c r="FH17" s="6">
        <v>14.06163918</v>
      </c>
      <c r="FI17" s="6">
        <f t="shared" si="77"/>
        <v>5875.2340821875996</v>
      </c>
      <c r="FJ17" s="6">
        <f t="shared" si="78"/>
        <v>36.914300901399535</v>
      </c>
      <c r="FL17" s="5">
        <v>46068</v>
      </c>
      <c r="FM17" s="6">
        <v>579798.11917873402</v>
      </c>
      <c r="FN17" s="6">
        <f t="shared" si="79"/>
        <v>1547.0181011282341</v>
      </c>
      <c r="FO17" s="6">
        <v>562562.74828452698</v>
      </c>
      <c r="FP17" s="6">
        <f t="shared" si="80"/>
        <v>1501.0306619299752</v>
      </c>
      <c r="FQ17" s="6">
        <f t="shared" si="81"/>
        <v>3048.0487630582093</v>
      </c>
      <c r="FR17" s="6"/>
      <c r="FS17" s="6">
        <f t="shared" si="82"/>
        <v>17235.370894207037</v>
      </c>
      <c r="FT17" s="6">
        <f t="shared" si="83"/>
        <v>45.987439198259089</v>
      </c>
      <c r="FU17" s="6">
        <v>641425.27120199997</v>
      </c>
      <c r="FV17" s="6">
        <f t="shared" si="84"/>
        <v>1481.69237647662</v>
      </c>
      <c r="FW17" s="6">
        <v>689280.98667499993</v>
      </c>
      <c r="FX17" s="6">
        <f t="shared" si="85"/>
        <v>1592.2390792192498</v>
      </c>
      <c r="FY17" s="6">
        <f t="shared" si="86"/>
        <v>-110.5467027426299</v>
      </c>
      <c r="GA17" s="5">
        <v>46068</v>
      </c>
      <c r="GB17" s="6">
        <v>579742.92855985695</v>
      </c>
      <c r="GC17" s="6">
        <f t="shared" si="87"/>
        <v>1546.8708414466469</v>
      </c>
      <c r="GD17" s="6">
        <v>588957.62527443806</v>
      </c>
      <c r="GE17" s="6">
        <f t="shared" si="88"/>
        <v>1571.4575072917446</v>
      </c>
      <c r="GF17" s="6">
        <f t="shared" si="89"/>
        <v>3118.3283487383915</v>
      </c>
      <c r="GG17" s="6"/>
      <c r="GH17" s="6">
        <f t="shared" si="90"/>
        <v>-9214.6967145811068</v>
      </c>
      <c r="GI17" s="6">
        <f t="shared" si="91"/>
        <v>-24.586665845098004</v>
      </c>
      <c r="GJ17" s="6">
        <v>672551.04740000004</v>
      </c>
      <c r="GK17" s="6">
        <f t="shared" si="92"/>
        <v>1553.5929194940002</v>
      </c>
      <c r="GL17" s="6">
        <v>689280.98667499993</v>
      </c>
      <c r="GM17" s="6">
        <f t="shared" si="93"/>
        <v>1592.2390792192498</v>
      </c>
      <c r="GN17" s="6">
        <f t="shared" si="94"/>
        <v>-38.64615972524976</v>
      </c>
      <c r="GP17" s="5">
        <v>46068</v>
      </c>
      <c r="GQ17" s="6">
        <v>580227.25029496686</v>
      </c>
      <c r="GR17" s="6">
        <f t="shared" si="95"/>
        <v>1548.1631093347285</v>
      </c>
      <c r="GS17" s="6">
        <v>602708.84762767702</v>
      </c>
      <c r="GT17" s="6">
        <f t="shared" si="96"/>
        <v>1608.1485367887581</v>
      </c>
      <c r="GU17" s="6">
        <f t="shared" si="97"/>
        <v>3156.3116461234868</v>
      </c>
      <c r="GV17" s="6"/>
      <c r="GW17" s="6">
        <f t="shared" si="98"/>
        <v>-22481.597332710167</v>
      </c>
      <c r="GX17" s="6">
        <f t="shared" si="99"/>
        <v>-59.985427454029775</v>
      </c>
      <c r="GY17" s="6">
        <v>447.20921600000003</v>
      </c>
      <c r="GZ17" s="6">
        <f t="shared" si="100"/>
        <v>1576.4124864</v>
      </c>
      <c r="HA17" s="6">
        <v>448.16099500000001</v>
      </c>
      <c r="HB17" s="6">
        <f t="shared" si="101"/>
        <v>1579.7675073749999</v>
      </c>
      <c r="HC17" s="6">
        <f t="shared" si="207"/>
        <v>-3.3550209749999564</v>
      </c>
      <c r="HE17" s="5">
        <v>46068</v>
      </c>
      <c r="HF17" s="6">
        <v>582775.78940889798</v>
      </c>
      <c r="HG17" s="6">
        <f t="shared" si="102"/>
        <v>1554.9631247371058</v>
      </c>
      <c r="HH17" s="6">
        <v>583347.71608086396</v>
      </c>
      <c r="HI17" s="6">
        <f t="shared" si="103"/>
        <v>1556.4891402324695</v>
      </c>
      <c r="HJ17" s="6">
        <f t="shared" si="104"/>
        <v>3111.4522649695755</v>
      </c>
      <c r="HK17" s="6"/>
      <c r="HL17" s="6">
        <f t="shared" si="105"/>
        <v>-571.92667196597904</v>
      </c>
      <c r="HM17" s="6">
        <f t="shared" si="106"/>
        <v>-1.5260154953635656</v>
      </c>
      <c r="HN17" s="6">
        <v>432.654313</v>
      </c>
      <c r="HO17" s="6">
        <f t="shared" si="107"/>
        <v>1525.1064533250001</v>
      </c>
      <c r="HP17" s="6">
        <v>450.14525500000002</v>
      </c>
      <c r="HQ17" s="6">
        <f t="shared" si="108"/>
        <v>1586.7620238750001</v>
      </c>
      <c r="HR17" s="6">
        <f t="shared" si="109"/>
        <v>-61.655570550000064</v>
      </c>
      <c r="HT17" s="5">
        <v>46068</v>
      </c>
      <c r="HU17" s="6">
        <v>558465.78417574603</v>
      </c>
      <c r="HV17" s="6">
        <f t="shared" si="110"/>
        <v>1490.0991369279029</v>
      </c>
      <c r="HW17" s="6">
        <v>586327.90155186784</v>
      </c>
      <c r="HX17" s="6">
        <f t="shared" si="111"/>
        <v>1564.4408750102448</v>
      </c>
      <c r="HY17" s="6">
        <f t="shared" si="112"/>
        <v>3054.5400119381475</v>
      </c>
      <c r="HZ17" s="6"/>
      <c r="IA17" s="6">
        <f t="shared" si="113"/>
        <v>-27862.117376121809</v>
      </c>
      <c r="IB17" s="6">
        <f t="shared" si="114"/>
        <v>-74.341738082341976</v>
      </c>
      <c r="IC17" s="6">
        <v>2.54638279</v>
      </c>
      <c r="ID17" s="6">
        <f t="shared" si="115"/>
        <v>1526.8365847119001</v>
      </c>
      <c r="IE17" s="6">
        <v>2.5257038299999999</v>
      </c>
      <c r="IF17" s="6">
        <f t="shared" si="116"/>
        <v>1514.4372735063</v>
      </c>
      <c r="IG17" s="6">
        <f t="shared" si="117"/>
        <v>12.399311205600082</v>
      </c>
      <c r="II17" s="5">
        <v>46068</v>
      </c>
      <c r="IJ17" s="6">
        <v>548726.32230886503</v>
      </c>
      <c r="IK17" s="6">
        <f t="shared" si="118"/>
        <v>1464.112292015996</v>
      </c>
      <c r="IL17" s="6">
        <v>588953.55796597106</v>
      </c>
      <c r="IM17" s="6">
        <f t="shared" si="119"/>
        <v>1571.4466548939649</v>
      </c>
      <c r="IN17" s="6">
        <f t="shared" si="120"/>
        <v>3035.5589469099609</v>
      </c>
      <c r="IO17" s="6"/>
      <c r="IP17" s="6">
        <f t="shared" si="121"/>
        <v>-40227.235657106037</v>
      </c>
      <c r="IQ17" s="6">
        <f t="shared" si="122"/>
        <v>-107.33436287796903</v>
      </c>
      <c r="IR17" s="6">
        <v>2.5576941799999999</v>
      </c>
      <c r="IS17" s="6">
        <f t="shared" si="123"/>
        <v>1533.6190072698</v>
      </c>
      <c r="IT17" s="6">
        <v>2.48271599</v>
      </c>
      <c r="IU17" s="6">
        <f t="shared" si="124"/>
        <v>1488.6613347639</v>
      </c>
      <c r="IV17" s="6">
        <f t="shared" si="125"/>
        <v>44.957672505899971</v>
      </c>
      <c r="IX17" s="5">
        <v>46068</v>
      </c>
      <c r="IY17" s="6">
        <v>756346.72689176188</v>
      </c>
      <c r="IZ17" s="6">
        <f t="shared" si="126"/>
        <v>2018.0853275068112</v>
      </c>
      <c r="JA17" s="6">
        <v>758946.16941824206</v>
      </c>
      <c r="JB17" s="6">
        <f t="shared" si="127"/>
        <v>2025.0211634612356</v>
      </c>
      <c r="JC17" s="6">
        <f t="shared" si="128"/>
        <v>4043.1064909680467</v>
      </c>
      <c r="JD17" s="6"/>
      <c r="JE17" s="6">
        <f t="shared" si="129"/>
        <v>-2599.442526480183</v>
      </c>
      <c r="JF17" s="6">
        <f t="shared" si="130"/>
        <v>-6.9358359544241335</v>
      </c>
      <c r="JG17" s="6">
        <v>14.833885629999999</v>
      </c>
      <c r="JH17" s="6">
        <f t="shared" si="131"/>
        <v>2019.6335285245</v>
      </c>
      <c r="JI17" s="6">
        <v>15.07592855</v>
      </c>
      <c r="JJ17" s="6">
        <f t="shared" si="132"/>
        <v>2052.5876720824999</v>
      </c>
      <c r="JK17" s="6">
        <f t="shared" si="133"/>
        <v>-32.954143558000162</v>
      </c>
      <c r="JM17" s="5">
        <v>46068</v>
      </c>
      <c r="JN17" s="6">
        <v>769332.49231205112</v>
      </c>
      <c r="JO17" s="6">
        <f t="shared" si="134"/>
        <v>2052.7339638125795</v>
      </c>
      <c r="JP17" s="6">
        <v>795333.36182370805</v>
      </c>
      <c r="JQ17" s="6">
        <f t="shared" si="135"/>
        <v>2122.1095179047215</v>
      </c>
      <c r="JR17" s="6">
        <f t="shared" si="136"/>
        <v>4174.8434817173011</v>
      </c>
      <c r="JS17" s="6"/>
      <c r="JT17" s="6">
        <f t="shared" si="137"/>
        <v>-26000.869511656929</v>
      </c>
      <c r="JU17" s="6">
        <f t="shared" si="138"/>
        <v>-69.375554092142082</v>
      </c>
      <c r="JV17" s="6">
        <v>15.544490550000001</v>
      </c>
      <c r="JW17" s="6">
        <f t="shared" si="139"/>
        <v>2116.3823883825003</v>
      </c>
      <c r="JX17" s="6">
        <v>15.343711969999999</v>
      </c>
      <c r="JY17" s="6">
        <f t="shared" si="140"/>
        <v>2089.0463847155002</v>
      </c>
      <c r="JZ17" s="6">
        <f t="shared" si="141"/>
        <v>27.336003667000202</v>
      </c>
      <c r="KB17" s="5">
        <v>46068</v>
      </c>
      <c r="KC17" s="6">
        <v>755271.40500640101</v>
      </c>
      <c r="KD17" s="6">
        <f t="shared" si="142"/>
        <v>2015.2161522436199</v>
      </c>
      <c r="KE17" s="6">
        <v>758968.82112949307</v>
      </c>
      <c r="KF17" s="6">
        <f t="shared" si="143"/>
        <v>2025.0816027868689</v>
      </c>
      <c r="KG17" s="6">
        <f t="shared" si="144"/>
        <v>4040.2977550304886</v>
      </c>
      <c r="KH17" s="6"/>
      <c r="KI17" s="6">
        <f t="shared" si="145"/>
        <v>-3697.4161230920581</v>
      </c>
      <c r="KJ17" s="6">
        <f t="shared" si="146"/>
        <v>-9.8654505432493504</v>
      </c>
      <c r="KK17" s="6">
        <v>2.9345724249999998</v>
      </c>
      <c r="KL17" s="6">
        <f t="shared" si="147"/>
        <v>2003.2858659262497</v>
      </c>
      <c r="KM17" s="6">
        <v>2.9802777630000001</v>
      </c>
      <c r="KN17" s="6">
        <f t="shared" si="148"/>
        <v>2034.48661491195</v>
      </c>
      <c r="KO17" s="6">
        <f t="shared" si="149"/>
        <v>-31.200748985700216</v>
      </c>
      <c r="KQ17" s="5">
        <v>46068</v>
      </c>
      <c r="KR17" s="6">
        <v>743252.12891162199</v>
      </c>
      <c r="KS17" s="6">
        <f t="shared" si="150"/>
        <v>1983.1463040222784</v>
      </c>
      <c r="KT17" s="6">
        <v>758968.82112949307</v>
      </c>
      <c r="KU17" s="6">
        <f t="shared" si="151"/>
        <v>2025.0816027868689</v>
      </c>
      <c r="KV17" s="6">
        <f t="shared" si="152"/>
        <v>4008.2279068091475</v>
      </c>
      <c r="KW17" s="6"/>
      <c r="KX17" s="6">
        <f t="shared" si="153"/>
        <v>-15716.692217871081</v>
      </c>
      <c r="KY17" s="6">
        <f t="shared" si="154"/>
        <v>-41.935298764590428</v>
      </c>
      <c r="KZ17" s="6">
        <v>2.9343797920000001</v>
      </c>
      <c r="LA17" s="6">
        <f t="shared" si="155"/>
        <v>2003.1543650087999</v>
      </c>
      <c r="LB17" s="6">
        <v>2.9335244230000002</v>
      </c>
      <c r="LC17" s="6">
        <f t="shared" si="156"/>
        <v>2002.5704473609501</v>
      </c>
      <c r="LD17" s="6">
        <f t="shared" si="157"/>
        <v>0.58391764784995848</v>
      </c>
      <c r="LF17" s="5">
        <v>46068</v>
      </c>
      <c r="LG17" s="6">
        <v>749938.83664159512</v>
      </c>
      <c r="LH17" s="6">
        <f t="shared" si="158"/>
        <v>2000.9877863469803</v>
      </c>
      <c r="LI17" s="6">
        <v>762920.81959569</v>
      </c>
      <c r="LJ17" s="6">
        <f t="shared" si="159"/>
        <v>2035.6263302714938</v>
      </c>
      <c r="LK17" s="6">
        <f t="shared" si="160"/>
        <v>4036.6141166184743</v>
      </c>
      <c r="LL17" s="6"/>
      <c r="LM17" s="6">
        <f t="shared" si="161"/>
        <v>-12981.982954094885</v>
      </c>
      <c r="LN17" s="6">
        <f t="shared" si="162"/>
        <v>-34.638543924513641</v>
      </c>
      <c r="LO17" s="6">
        <v>33.27854018</v>
      </c>
      <c r="LP17" s="6">
        <f t="shared" si="163"/>
        <v>2011.0221830774001</v>
      </c>
      <c r="LQ17" s="6">
        <v>33.377299469999997</v>
      </c>
      <c r="LR17" s="6">
        <f t="shared" si="164"/>
        <v>2016.9902069720997</v>
      </c>
      <c r="LS17" s="6">
        <f t="shared" si="165"/>
        <v>-5.9680238946998019</v>
      </c>
      <c r="LU17" s="5">
        <v>46068</v>
      </c>
      <c r="LV17" s="6">
        <v>746593.53797450196</v>
      </c>
      <c r="LW17" s="6">
        <f t="shared" si="166"/>
        <v>1992.061856061101</v>
      </c>
      <c r="LX17" s="6">
        <v>748106.12385352096</v>
      </c>
      <c r="LY17" s="6">
        <f t="shared" si="167"/>
        <v>1996.0977396849869</v>
      </c>
      <c r="LZ17" s="6">
        <f t="shared" si="168"/>
        <v>3988.1595957460877</v>
      </c>
      <c r="MA17" s="6"/>
      <c r="MB17" s="6">
        <f t="shared" si="169"/>
        <v>-1512.5858790189959</v>
      </c>
      <c r="MC17" s="6">
        <f t="shared" si="170"/>
        <v>-4.0358836238859865</v>
      </c>
      <c r="MD17" s="6">
        <v>32.634609900000001</v>
      </c>
      <c r="ME17" s="6">
        <f t="shared" si="171"/>
        <v>1972.1094762570001</v>
      </c>
      <c r="MF17" s="6">
        <v>33.228466139999988</v>
      </c>
      <c r="MG17" s="6">
        <f t="shared" si="172"/>
        <v>2007.9962088401992</v>
      </c>
      <c r="MH17" s="6">
        <f t="shared" si="173"/>
        <v>-35.886732583199198</v>
      </c>
      <c r="MJ17" s="5">
        <v>46068</v>
      </c>
      <c r="MK17" s="6">
        <v>758389.93351113901</v>
      </c>
      <c r="ML17" s="6">
        <f t="shared" si="174"/>
        <v>2023.537014085234</v>
      </c>
      <c r="MM17" s="6">
        <v>758884.46519947704</v>
      </c>
      <c r="MN17" s="6">
        <f t="shared" si="175"/>
        <v>2024.8565241838942</v>
      </c>
      <c r="MO17" s="6">
        <f t="shared" si="176"/>
        <v>4048.3935382691279</v>
      </c>
      <c r="MP17" s="6"/>
      <c r="MQ17" s="6">
        <f t="shared" si="177"/>
        <v>-494.5316883380292</v>
      </c>
      <c r="MR17" s="6">
        <f t="shared" si="178"/>
        <v>-1.3195100986600412</v>
      </c>
      <c r="MS17" s="6">
        <v>6.5366064399999999</v>
      </c>
      <c r="MT17" s="6">
        <f t="shared" si="179"/>
        <v>2000.2669367044</v>
      </c>
      <c r="MU17" s="6">
        <v>6.6658250700000004</v>
      </c>
      <c r="MV17" s="6">
        <f t="shared" si="180"/>
        <v>2039.8091296707</v>
      </c>
      <c r="MW17" s="6">
        <f t="shared" si="181"/>
        <v>-39.542192966300135</v>
      </c>
      <c r="MY17" s="5">
        <v>46068</v>
      </c>
      <c r="MZ17" s="6">
        <v>740478.04846979608</v>
      </c>
      <c r="NA17" s="6">
        <f t="shared" si="182"/>
        <v>1975.7444989533533</v>
      </c>
      <c r="NB17" s="6">
        <v>758884.46519947704</v>
      </c>
      <c r="NC17" s="6">
        <f t="shared" si="183"/>
        <v>2024.8565241838942</v>
      </c>
      <c r="ND17" s="6">
        <f t="shared" si="184"/>
        <v>4000.6010231372475</v>
      </c>
      <c r="NE17" s="6"/>
      <c r="NF17" s="6">
        <f t="shared" si="185"/>
        <v>-18406.416729680961</v>
      </c>
      <c r="NG17" s="6">
        <f t="shared" si="186"/>
        <v>-49.112025230540659</v>
      </c>
      <c r="NH17" s="6">
        <v>6.5358301900000004</v>
      </c>
      <c r="NI17" s="6">
        <f t="shared" si="187"/>
        <v>2000.0293964419</v>
      </c>
      <c r="NJ17" s="6">
        <v>6.5093559900000004</v>
      </c>
      <c r="NK17" s="6">
        <f t="shared" si="188"/>
        <v>1991.9280264999002</v>
      </c>
      <c r="NL17" s="6">
        <f t="shared" si="189"/>
        <v>8.1013699420000016</v>
      </c>
      <c r="NN17" s="5">
        <v>46068</v>
      </c>
      <c r="NO17" s="6">
        <v>779083.30247029802</v>
      </c>
      <c r="NP17" s="6">
        <f t="shared" si="190"/>
        <v>2078.7510882503757</v>
      </c>
      <c r="NQ17" s="6">
        <v>784675.1905328139</v>
      </c>
      <c r="NR17" s="6">
        <f t="shared" si="191"/>
        <v>2093.6713713041536</v>
      </c>
      <c r="NS17" s="6">
        <f t="shared" si="192"/>
        <v>4172.4224595545293</v>
      </c>
      <c r="NT17" s="6"/>
      <c r="NU17" s="6">
        <f t="shared" si="193"/>
        <v>-5591.8880625158781</v>
      </c>
      <c r="NV17" s="6">
        <f t="shared" si="194"/>
        <v>-14.920283053778228</v>
      </c>
      <c r="NW17" s="6">
        <v>273092.03791999997</v>
      </c>
      <c r="NX17" s="6">
        <f t="shared" si="195"/>
        <v>2078.2304085711999</v>
      </c>
      <c r="NY17" s="20">
        <v>281971.43018999998</v>
      </c>
      <c r="NZ17" s="6">
        <f t="shared" si="196"/>
        <v>2145.8025837458999</v>
      </c>
      <c r="OA17" s="6">
        <f t="shared" si="197"/>
        <v>-67.572175174700078</v>
      </c>
      <c r="OC17" s="5">
        <v>46068</v>
      </c>
      <c r="OD17" s="6">
        <v>754337.96943701804</v>
      </c>
      <c r="OE17" s="6">
        <f t="shared" si="198"/>
        <v>2012.7255582345915</v>
      </c>
      <c r="OF17" s="6">
        <v>776393.76195993705</v>
      </c>
      <c r="OG17" s="6">
        <f t="shared" si="199"/>
        <v>2071.5748527373321</v>
      </c>
      <c r="OH17" s="6">
        <f t="shared" si="200"/>
        <v>4084.3004109719236</v>
      </c>
      <c r="OI17" s="6"/>
      <c r="OJ17" s="6">
        <f t="shared" si="201"/>
        <v>-22055.792522919015</v>
      </c>
      <c r="OK17" s="6">
        <f t="shared" si="202"/>
        <v>-58.849294502740726</v>
      </c>
      <c r="OL17" s="6">
        <v>269704.74604100001</v>
      </c>
      <c r="OM17" s="6">
        <f t="shared" si="203"/>
        <v>2052.4531173720097</v>
      </c>
      <c r="ON17" s="6">
        <v>272930.13456999999</v>
      </c>
      <c r="OO17" s="6">
        <f t="shared" si="204"/>
        <v>2076.9983240776996</v>
      </c>
      <c r="OP17" s="6">
        <f t="shared" si="205"/>
        <v>-24.545206705689914</v>
      </c>
    </row>
    <row r="18" spans="1:406" x14ac:dyDescent="0.2">
      <c r="A18" s="5">
        <v>46069</v>
      </c>
      <c r="B18" s="10">
        <v>165.79</v>
      </c>
      <c r="C18" s="6">
        <v>76.23</v>
      </c>
      <c r="D18" s="6">
        <v>183.07</v>
      </c>
      <c r="E18" s="6">
        <v>456.26</v>
      </c>
      <c r="F18" s="6">
        <v>417.94</v>
      </c>
      <c r="G18" s="2">
        <v>2.1900000000000001E-3</v>
      </c>
      <c r="H18" s="6">
        <v>3.52</v>
      </c>
      <c r="I18" s="6">
        <v>602.89</v>
      </c>
      <c r="J18" s="6">
        <v>134.13</v>
      </c>
      <c r="K18" s="6">
        <v>685.78</v>
      </c>
      <c r="L18" s="6">
        <v>60.11</v>
      </c>
      <c r="M18" s="6">
        <v>307.61</v>
      </c>
      <c r="N18" s="6">
        <v>7.1799999999999998E-3</v>
      </c>
      <c r="O18" s="6">
        <v>85.38</v>
      </c>
      <c r="P18" s="7">
        <v>3.0630000000000003E-5</v>
      </c>
      <c r="R18" s="5">
        <v>46069</v>
      </c>
      <c r="S18" s="6">
        <v>879908.29956215899</v>
      </c>
      <c r="T18" s="6">
        <f t="shared" si="0"/>
        <v>2301.1268579869829</v>
      </c>
      <c r="U18" s="6">
        <v>843872.74238811503</v>
      </c>
      <c r="V18" s="6">
        <f t="shared" si="1"/>
        <v>2206.8870508423292</v>
      </c>
      <c r="W18" s="6">
        <f t="shared" si="2"/>
        <v>4508.0139088293126</v>
      </c>
      <c r="X18" s="6"/>
      <c r="Y18" s="6">
        <f t="shared" si="3"/>
        <v>36035.557174043963</v>
      </c>
      <c r="Z18" s="6">
        <f t="shared" si="4"/>
        <v>94.239807144653724</v>
      </c>
      <c r="AA18" s="6">
        <v>13.23455654</v>
      </c>
      <c r="AB18" s="6">
        <f t="shared" si="5"/>
        <v>2194.1571287665997</v>
      </c>
      <c r="AC18" s="6">
        <v>14.074698740000001</v>
      </c>
      <c r="AD18" s="6">
        <f t="shared" si="6"/>
        <v>2333.4443041046002</v>
      </c>
      <c r="AE18" s="6">
        <f t="shared" si="7"/>
        <v>-139.28717533800011</v>
      </c>
      <c r="AG18" s="5">
        <v>46069</v>
      </c>
      <c r="AH18" s="6">
        <v>891400.77509377594</v>
      </c>
      <c r="AI18" s="6">
        <f t="shared" si="8"/>
        <v>2331.1818581770272</v>
      </c>
      <c r="AJ18" s="6">
        <v>843872.74238811503</v>
      </c>
      <c r="AK18" s="6">
        <f t="shared" si="9"/>
        <v>2206.8870508423292</v>
      </c>
      <c r="AL18" s="6">
        <f t="shared" si="10"/>
        <v>4538.0689090193564</v>
      </c>
      <c r="AM18" s="6"/>
      <c r="AN18" s="6">
        <f t="shared" si="11"/>
        <v>47528.032705660909</v>
      </c>
      <c r="AO18" s="6">
        <f t="shared" si="12"/>
        <v>124.29480733469775</v>
      </c>
      <c r="AP18" s="6">
        <v>13.2331114</v>
      </c>
      <c r="AQ18" s="6">
        <f t="shared" si="13"/>
        <v>2193.917539006</v>
      </c>
      <c r="AR18" s="6">
        <v>14.26628695</v>
      </c>
      <c r="AS18" s="6">
        <f t="shared" si="14"/>
        <v>2365.2077134404999</v>
      </c>
      <c r="AT18" s="6">
        <f t="shared" si="15"/>
        <v>-171.29017443449987</v>
      </c>
      <c r="AV18" s="5">
        <v>46069</v>
      </c>
      <c r="AW18" s="6">
        <v>864220.94160037593</v>
      </c>
      <c r="AX18" s="6">
        <f t="shared" si="16"/>
        <v>2260.1014457313222</v>
      </c>
      <c r="AY18" s="6">
        <v>847568.92903265008</v>
      </c>
      <c r="AZ18" s="6">
        <f t="shared" si="17"/>
        <v>2216.5532789755389</v>
      </c>
      <c r="BA18" s="6">
        <f t="shared" si="18"/>
        <v>4476.6547247068611</v>
      </c>
      <c r="BB18" s="6"/>
      <c r="BC18" s="6">
        <f t="shared" si="206"/>
        <v>16652.012567725847</v>
      </c>
      <c r="BD18" s="6">
        <f t="shared" si="19"/>
        <v>43.548166755783427</v>
      </c>
      <c r="BE18" s="6">
        <v>28.883716410000002</v>
      </c>
      <c r="BF18" s="6">
        <f t="shared" si="20"/>
        <v>2201.8057019343</v>
      </c>
      <c r="BG18" s="6">
        <v>30.037360039999999</v>
      </c>
      <c r="BH18" s="6">
        <f t="shared" si="21"/>
        <v>2289.7479558492</v>
      </c>
      <c r="BI18" s="6">
        <f t="shared" si="22"/>
        <v>-87.942253914899823</v>
      </c>
      <c r="BK18" s="5">
        <v>46069</v>
      </c>
      <c r="BL18" s="6">
        <v>873338.64391702181</v>
      </c>
      <c r="BM18" s="6">
        <f t="shared" si="23"/>
        <v>2283.94596418217</v>
      </c>
      <c r="BN18" s="6">
        <v>847568.92903265008</v>
      </c>
      <c r="BO18" s="6">
        <f t="shared" si="24"/>
        <v>2216.5532789755389</v>
      </c>
      <c r="BP18" s="6">
        <f t="shared" si="25"/>
        <v>4500.4992431577084</v>
      </c>
      <c r="BQ18" s="6"/>
      <c r="BR18" s="6">
        <f t="shared" si="26"/>
        <v>25769.71488437173</v>
      </c>
      <c r="BS18" s="6">
        <f t="shared" si="27"/>
        <v>67.392685206631171</v>
      </c>
      <c r="BT18" s="6">
        <v>28.880901619999999</v>
      </c>
      <c r="BU18" s="6">
        <f t="shared" si="28"/>
        <v>2201.5911304925999</v>
      </c>
      <c r="BV18" s="6">
        <v>30.379177850000001</v>
      </c>
      <c r="BW18" s="6">
        <f>BV18*C18</f>
        <v>2315.8047275055001</v>
      </c>
      <c r="BX18" s="6">
        <f t="shared" si="30"/>
        <v>-114.21359701290015</v>
      </c>
      <c r="BZ18" s="5">
        <v>46069</v>
      </c>
      <c r="CA18" s="6">
        <v>838535.35717378499</v>
      </c>
      <c r="CB18" s="6">
        <f t="shared" si="31"/>
        <v>2192.9287776060964</v>
      </c>
      <c r="CC18" s="6">
        <v>838541.78362101596</v>
      </c>
      <c r="CD18" s="6">
        <f t="shared" si="32"/>
        <v>2192.9455839827747</v>
      </c>
      <c r="CE18" s="6">
        <f t="shared" si="33"/>
        <v>4385.8743615888707</v>
      </c>
      <c r="CF18" s="6"/>
      <c r="CG18" s="6">
        <f t="shared" si="34"/>
        <v>-6.426447230973281</v>
      </c>
      <c r="CH18" s="6">
        <f t="shared" si="35"/>
        <v>-1.6806376678100678E-2</v>
      </c>
      <c r="CI18" s="6">
        <v>11.90697945</v>
      </c>
      <c r="CJ18" s="6">
        <f t="shared" si="36"/>
        <v>2179.8107279114997</v>
      </c>
      <c r="CK18" s="6">
        <v>12.141907359999999</v>
      </c>
      <c r="CL18" s="6">
        <f t="shared" si="37"/>
        <v>2222.8189803952</v>
      </c>
      <c r="CM18" s="6">
        <f t="shared" si="38"/>
        <v>-43.008252483699941</v>
      </c>
      <c r="CO18" s="5">
        <v>46069</v>
      </c>
      <c r="CP18" s="6">
        <v>838482.60435490601</v>
      </c>
      <c r="CQ18" s="6">
        <f t="shared" si="39"/>
        <v>2192.7908189933441</v>
      </c>
      <c r="CR18" s="6">
        <v>816292.52796543902</v>
      </c>
      <c r="CS18" s="6">
        <f t="shared" si="40"/>
        <v>2134.7595664344199</v>
      </c>
      <c r="CT18" s="6">
        <f t="shared" si="41"/>
        <v>4327.550385427764</v>
      </c>
      <c r="CU18" s="6"/>
      <c r="CV18" s="6">
        <f t="shared" si="42"/>
        <v>22190.076389466994</v>
      </c>
      <c r="CW18" s="6">
        <f t="shared" si="43"/>
        <v>58.031252558924358</v>
      </c>
      <c r="CX18">
        <v>11.58303969</v>
      </c>
      <c r="CY18" s="6">
        <f t="shared" si="44"/>
        <v>2120.5070760483</v>
      </c>
      <c r="CZ18" s="6">
        <v>12.141907359999999</v>
      </c>
      <c r="DA18" s="6">
        <f t="shared" si="45"/>
        <v>2222.8189803952</v>
      </c>
      <c r="DB18" s="6">
        <f t="shared" si="46"/>
        <v>-102.31190434689994</v>
      </c>
      <c r="DD18" s="5">
        <v>46069</v>
      </c>
      <c r="DE18" s="6">
        <v>871409.72034479491</v>
      </c>
      <c r="DF18" s="6">
        <f t="shared" si="47"/>
        <v>2278.9014637026721</v>
      </c>
      <c r="DG18" s="6">
        <v>843808.78444218705</v>
      </c>
      <c r="DH18" s="6">
        <f t="shared" si="48"/>
        <v>2206.719788700093</v>
      </c>
      <c r="DI18" s="6">
        <f t="shared" si="49"/>
        <v>4485.6212524027651</v>
      </c>
      <c r="DJ18" s="6"/>
      <c r="DK18" s="6">
        <f t="shared" si="50"/>
        <v>27600.93590260786</v>
      </c>
      <c r="DL18" s="6">
        <f t="shared" si="51"/>
        <v>72.18167500257951</v>
      </c>
      <c r="DM18" s="6">
        <v>4.7572234099999999</v>
      </c>
      <c r="DN18" s="6">
        <f t="shared" si="52"/>
        <v>2170.5307530465998</v>
      </c>
      <c r="DO18" s="6">
        <v>5.011869120000001</v>
      </c>
      <c r="DP18" s="6">
        <f t="shared" si="53"/>
        <v>2286.7154046912005</v>
      </c>
      <c r="DQ18" s="6">
        <f t="shared" si="54"/>
        <v>-116.18465164460046</v>
      </c>
      <c r="DS18" s="5">
        <v>46069</v>
      </c>
      <c r="DT18" s="6">
        <v>879109.99514106719</v>
      </c>
      <c r="DU18" s="6">
        <f t="shared" si="55"/>
        <v>2299.0391407269708</v>
      </c>
      <c r="DV18" s="6">
        <v>843808.78444218705</v>
      </c>
      <c r="DW18" s="6">
        <f t="shared" si="56"/>
        <v>2206.719788700093</v>
      </c>
      <c r="DX18" s="6">
        <f t="shared" si="57"/>
        <v>4505.7589294270638</v>
      </c>
      <c r="DY18" s="6"/>
      <c r="DZ18" s="6">
        <f t="shared" si="58"/>
        <v>35301.210698880139</v>
      </c>
      <c r="EA18" s="6">
        <f t="shared" si="59"/>
        <v>92.319352026877937</v>
      </c>
      <c r="EB18" s="6">
        <v>4.75705183</v>
      </c>
      <c r="EC18" s="6">
        <f t="shared" si="60"/>
        <v>2170.4524679557999</v>
      </c>
      <c r="ED18" s="6">
        <v>5.0575328799999992</v>
      </c>
      <c r="EE18" s="6">
        <f t="shared" si="61"/>
        <v>2307.5499518287997</v>
      </c>
      <c r="EF18" s="6">
        <f t="shared" si="62"/>
        <v>-137.09748387299965</v>
      </c>
      <c r="EH18" s="5">
        <v>46069</v>
      </c>
      <c r="EI18" s="6">
        <v>2341626.41600142</v>
      </c>
      <c r="EJ18" s="6">
        <f t="shared" si="63"/>
        <v>6123.7965818869043</v>
      </c>
      <c r="EK18" s="6">
        <v>2344149.8763684048</v>
      </c>
      <c r="EL18" s="6">
        <f t="shared" si="64"/>
        <v>6130.3959086899622</v>
      </c>
      <c r="EM18" s="6">
        <f t="shared" si="65"/>
        <v>12254.192490576866</v>
      </c>
      <c r="EN18" s="6"/>
      <c r="EO18" s="6">
        <f t="shared" si="66"/>
        <v>-2523.4603669848293</v>
      </c>
      <c r="EP18" s="6">
        <f t="shared" si="67"/>
        <v>-6.5993268030588359</v>
      </c>
      <c r="EQ18" s="6">
        <v>14.64720194</v>
      </c>
      <c r="ER18" s="6">
        <f t="shared" si="68"/>
        <v>6121.6515788036004</v>
      </c>
      <c r="ES18" s="6">
        <v>14.69096858</v>
      </c>
      <c r="ET18" s="6">
        <f t="shared" si="69"/>
        <v>6139.9434083251999</v>
      </c>
      <c r="EU18" s="6">
        <f t="shared" si="70"/>
        <v>-18.291829521599755</v>
      </c>
      <c r="EW18" s="5">
        <v>46069</v>
      </c>
      <c r="EX18" s="6">
        <v>2340673.8332727328</v>
      </c>
      <c r="EY18" s="6">
        <f t="shared" si="71"/>
        <v>6121.305397632219</v>
      </c>
      <c r="EZ18" s="6">
        <v>2325354.0625526318</v>
      </c>
      <c r="FA18" s="6">
        <f t="shared" si="72"/>
        <v>6081.2412956345797</v>
      </c>
      <c r="FB18" s="6">
        <f t="shared" si="73"/>
        <v>12202.546693266799</v>
      </c>
      <c r="FC18" s="6"/>
      <c r="FD18" s="6">
        <f t="shared" si="74"/>
        <v>15319.770720100962</v>
      </c>
      <c r="FE18" s="6">
        <f t="shared" si="75"/>
        <v>40.064101997638403</v>
      </c>
      <c r="FF18" s="6">
        <v>14.49106615</v>
      </c>
      <c r="FG18" s="6">
        <f t="shared" si="76"/>
        <v>6056.3961867309999</v>
      </c>
      <c r="FH18" s="6">
        <v>14.69096858</v>
      </c>
      <c r="FI18" s="6">
        <f t="shared" si="77"/>
        <v>6139.9434083251999</v>
      </c>
      <c r="FJ18" s="6">
        <f t="shared" si="78"/>
        <v>-83.547221594199939</v>
      </c>
      <c r="FL18" s="5">
        <v>46069</v>
      </c>
      <c r="FM18" s="6">
        <v>652441.65823167097</v>
      </c>
      <c r="FN18" s="6">
        <f t="shared" si="79"/>
        <v>1706.2585087258888</v>
      </c>
      <c r="FO18" s="6">
        <v>640066.17168991105</v>
      </c>
      <c r="FP18" s="6">
        <f t="shared" si="80"/>
        <v>1673.8942675020355</v>
      </c>
      <c r="FQ18" s="6">
        <f t="shared" si="81"/>
        <v>3380.1527762279243</v>
      </c>
      <c r="FR18" s="6"/>
      <c r="FS18" s="6">
        <f t="shared" si="82"/>
        <v>12375.486541759921</v>
      </c>
      <c r="FT18" s="6">
        <f t="shared" si="83"/>
        <v>32.364241223853206</v>
      </c>
      <c r="FU18" s="6">
        <v>737850.286219</v>
      </c>
      <c r="FV18" s="6">
        <f t="shared" si="84"/>
        <v>1615.89212681961</v>
      </c>
      <c r="FW18" s="6">
        <v>782348.13821800007</v>
      </c>
      <c r="FX18" s="6">
        <f t="shared" si="85"/>
        <v>1713.3424226974203</v>
      </c>
      <c r="FY18" s="6">
        <f t="shared" si="86"/>
        <v>-97.450295877810149</v>
      </c>
      <c r="GA18" s="5">
        <v>46069</v>
      </c>
      <c r="GB18" s="6">
        <v>652403.22518173605</v>
      </c>
      <c r="GC18" s="6">
        <f t="shared" si="87"/>
        <v>1706.1579990210892</v>
      </c>
      <c r="GD18" s="6">
        <v>625023.85744652909</v>
      </c>
      <c r="GE18" s="6">
        <f t="shared" si="88"/>
        <v>1634.5557667412741</v>
      </c>
      <c r="GF18" s="6">
        <f t="shared" si="89"/>
        <v>3340.7137657623634</v>
      </c>
      <c r="GG18" s="6"/>
      <c r="GH18" s="6">
        <f t="shared" si="90"/>
        <v>27379.367735206964</v>
      </c>
      <c r="GI18" s="6">
        <f t="shared" si="91"/>
        <v>71.602232279815254</v>
      </c>
      <c r="GJ18" s="6">
        <v>719724.90046599996</v>
      </c>
      <c r="GK18" s="6">
        <f t="shared" si="92"/>
        <v>1576.1975320205399</v>
      </c>
      <c r="GL18" s="6">
        <v>782348.13821800007</v>
      </c>
      <c r="GM18" s="6">
        <f t="shared" si="93"/>
        <v>1713.3424226974203</v>
      </c>
      <c r="GN18" s="6">
        <f t="shared" si="94"/>
        <v>-137.14489067688024</v>
      </c>
      <c r="GP18" s="5">
        <v>46069</v>
      </c>
      <c r="GQ18" s="6">
        <v>647255.39537097001</v>
      </c>
      <c r="GR18" s="6">
        <f t="shared" si="95"/>
        <v>1692.6954490669698</v>
      </c>
      <c r="GS18" s="6">
        <v>619449.32833818404</v>
      </c>
      <c r="GT18" s="6">
        <f t="shared" si="96"/>
        <v>1619.9773173071387</v>
      </c>
      <c r="GU18" s="6">
        <f>GR18+GT18</f>
        <v>3312.6727663741085</v>
      </c>
      <c r="GV18" s="6"/>
      <c r="GW18" s="6">
        <f t="shared" si="98"/>
        <v>27806.06703278597</v>
      </c>
      <c r="GX18" s="6">
        <f t="shared" si="99"/>
        <v>72.718131759831323</v>
      </c>
      <c r="GY18" s="6">
        <v>458.08136400000001</v>
      </c>
      <c r="GZ18" s="6">
        <f t="shared" si="100"/>
        <v>1612.4464012800001</v>
      </c>
      <c r="HA18" s="6">
        <v>498.61159600000008</v>
      </c>
      <c r="HB18" s="6">
        <f t="shared" si="101"/>
        <v>1755.1128179200002</v>
      </c>
      <c r="HC18" s="6">
        <f t="shared" si="207"/>
        <v>-142.66641664000025</v>
      </c>
      <c r="HE18" s="5">
        <v>46069</v>
      </c>
      <c r="HF18" s="6">
        <v>647207.20383634209</v>
      </c>
      <c r="HG18" s="6">
        <f t="shared" si="102"/>
        <v>1692.5694190764414</v>
      </c>
      <c r="HH18" s="6">
        <v>625332.7135665121</v>
      </c>
      <c r="HI18" s="6">
        <f t="shared" si="103"/>
        <v>1635.3634839923789</v>
      </c>
      <c r="HJ18" s="6">
        <f t="shared" si="104"/>
        <v>3327.9329030688205</v>
      </c>
      <c r="HK18" s="6"/>
      <c r="HL18" s="6">
        <f t="shared" si="105"/>
        <v>21874.490269829985</v>
      </c>
      <c r="HM18" s="6">
        <f t="shared" si="106"/>
        <v>57.205935084062524</v>
      </c>
      <c r="HN18" s="6">
        <v>462.462399</v>
      </c>
      <c r="HO18" s="6">
        <f t="shared" si="107"/>
        <v>1627.8676444800001</v>
      </c>
      <c r="HP18" s="6">
        <v>498.61159600000008</v>
      </c>
      <c r="HQ18" s="6">
        <f t="shared" si="108"/>
        <v>1755.1128179200002</v>
      </c>
      <c r="HR18" s="6">
        <f t="shared" si="109"/>
        <v>-127.24517344000026</v>
      </c>
      <c r="HT18" s="5">
        <v>46069</v>
      </c>
      <c r="HU18" s="6">
        <v>683973.04857596196</v>
      </c>
      <c r="HV18" s="6">
        <f t="shared" si="110"/>
        <v>1788.7190665215408</v>
      </c>
      <c r="HW18" s="6">
        <v>653405.06964884512</v>
      </c>
      <c r="HX18" s="6">
        <f t="shared" si="111"/>
        <v>1708.7780120519217</v>
      </c>
      <c r="HY18" s="6">
        <f t="shared" si="112"/>
        <v>3497.4970785734622</v>
      </c>
      <c r="HZ18" s="6"/>
      <c r="IA18" s="6">
        <f t="shared" si="113"/>
        <v>30567.978927116841</v>
      </c>
      <c r="IB18" s="6">
        <f t="shared" si="114"/>
        <v>79.941054469619345</v>
      </c>
      <c r="IC18" s="6">
        <v>2.80469028</v>
      </c>
      <c r="ID18" s="6">
        <f t="shared" si="115"/>
        <v>1690.9197229091999</v>
      </c>
      <c r="IE18" s="6">
        <v>3.0557547700000001</v>
      </c>
      <c r="IF18" s="6">
        <f t="shared" si="116"/>
        <v>1842.2839932853001</v>
      </c>
      <c r="IG18" s="6">
        <f t="shared" si="117"/>
        <v>-151.36427037610005</v>
      </c>
      <c r="II18" s="5">
        <v>46069</v>
      </c>
      <c r="IJ18" s="6">
        <v>677851.73913359607</v>
      </c>
      <c r="IK18" s="6">
        <f t="shared" si="118"/>
        <v>1772.7106829537456</v>
      </c>
      <c r="IL18" s="6">
        <v>653405.06964884512</v>
      </c>
      <c r="IM18" s="6">
        <f t="shared" si="119"/>
        <v>1708.7780120519217</v>
      </c>
      <c r="IN18" s="6">
        <f t="shared" si="120"/>
        <v>3481.4886950056671</v>
      </c>
      <c r="IO18" s="6"/>
      <c r="IP18" s="6">
        <f t="shared" si="121"/>
        <v>24446.66948475095</v>
      </c>
      <c r="IQ18" s="6">
        <f t="shared" si="122"/>
        <v>63.932670901824146</v>
      </c>
      <c r="IR18" s="6">
        <v>2.804569110000001</v>
      </c>
      <c r="IS18" s="6">
        <f t="shared" si="123"/>
        <v>1690.8466707279006</v>
      </c>
      <c r="IT18" s="6">
        <v>3.02987647</v>
      </c>
      <c r="IU18" s="6">
        <f t="shared" si="124"/>
        <v>1826.6822249982999</v>
      </c>
      <c r="IV18" s="6">
        <f t="shared" si="125"/>
        <v>-135.83555427039943</v>
      </c>
      <c r="IX18" s="5">
        <v>46069</v>
      </c>
      <c r="IY18" s="6">
        <v>841209.54437139502</v>
      </c>
      <c r="IZ18" s="6">
        <f t="shared" si="126"/>
        <v>2199.9222836189019</v>
      </c>
      <c r="JA18" s="6">
        <v>840318.23913248093</v>
      </c>
      <c r="JB18" s="6">
        <f t="shared" si="127"/>
        <v>2197.5913516059295</v>
      </c>
      <c r="JC18" s="6">
        <f t="shared" si="128"/>
        <v>4397.5136352248319</v>
      </c>
      <c r="JD18" s="6"/>
      <c r="JE18" s="6">
        <f t="shared" si="129"/>
        <v>891.30523891409393</v>
      </c>
      <c r="JF18" s="6">
        <f t="shared" si="130"/>
        <v>2.3309320129726059</v>
      </c>
      <c r="JG18" s="6">
        <v>16.252633379999999</v>
      </c>
      <c r="JH18" s="6">
        <f t="shared" si="131"/>
        <v>2179.9657152594</v>
      </c>
      <c r="JI18" s="6">
        <v>16.587971830000001</v>
      </c>
      <c r="JJ18" s="6">
        <f t="shared" si="132"/>
        <v>2224.9446615579</v>
      </c>
      <c r="JK18" s="6">
        <f t="shared" si="133"/>
        <v>-44.978946298500247</v>
      </c>
      <c r="JM18" s="5">
        <v>46069</v>
      </c>
      <c r="JN18" s="6">
        <v>873721.84779082297</v>
      </c>
      <c r="JO18" s="6">
        <f t="shared" si="134"/>
        <v>2284.948114890974</v>
      </c>
      <c r="JP18" s="6">
        <v>843783.67175400699</v>
      </c>
      <c r="JQ18" s="6">
        <f t="shared" si="135"/>
        <v>2206.6541142641586</v>
      </c>
      <c r="JR18" s="6">
        <f t="shared" si="136"/>
        <v>4491.6022291551326</v>
      </c>
      <c r="JS18" s="6"/>
      <c r="JT18" s="6">
        <f t="shared" si="137"/>
        <v>29938.176036815974</v>
      </c>
      <c r="JU18" s="6">
        <f t="shared" si="138"/>
        <v>78.294000626815148</v>
      </c>
      <c r="JV18" s="6">
        <v>16.318248180000001</v>
      </c>
      <c r="JW18" s="6">
        <f t="shared" si="139"/>
        <v>2188.7666283834001</v>
      </c>
      <c r="JX18" s="6">
        <v>17.243854389999999</v>
      </c>
      <c r="JY18" s="6">
        <f t="shared" si="140"/>
        <v>2312.9181893307</v>
      </c>
      <c r="JZ18" s="6">
        <f t="shared" si="141"/>
        <v>-124.15156094729973</v>
      </c>
      <c r="KB18" s="5">
        <v>46069</v>
      </c>
      <c r="KC18" s="6">
        <v>863216.4357045698</v>
      </c>
      <c r="KD18" s="6">
        <f t="shared" si="142"/>
        <v>2257.4744725603723</v>
      </c>
      <c r="KE18" s="6">
        <v>843745.74435968301</v>
      </c>
      <c r="KF18" s="6">
        <f t="shared" si="143"/>
        <v>2206.5549269445528</v>
      </c>
      <c r="KG18" s="6">
        <f t="shared" si="144"/>
        <v>4464.0293995049251</v>
      </c>
      <c r="KH18" s="6"/>
      <c r="KI18" s="6">
        <f t="shared" si="145"/>
        <v>19470.691344886785</v>
      </c>
      <c r="KJ18" s="6">
        <f t="shared" si="146"/>
        <v>50.919545615819665</v>
      </c>
      <c r="KK18" s="6">
        <v>3.198333249</v>
      </c>
      <c r="KL18" s="6">
        <f t="shared" si="147"/>
        <v>2193.3529754992201</v>
      </c>
      <c r="KM18" s="6">
        <v>3.3375306249999999</v>
      </c>
      <c r="KN18" s="6">
        <f t="shared" si="148"/>
        <v>2288.8117520124997</v>
      </c>
      <c r="KO18" s="6">
        <f t="shared" si="149"/>
        <v>-95.458776513279872</v>
      </c>
      <c r="KQ18" s="5">
        <v>46069</v>
      </c>
      <c r="KR18" s="6">
        <v>887644.08374679799</v>
      </c>
      <c r="KS18" s="6">
        <f t="shared" si="150"/>
        <v>2321.3573987873388</v>
      </c>
      <c r="KT18" s="6">
        <v>843745.74435968301</v>
      </c>
      <c r="KU18" s="6">
        <f t="shared" si="151"/>
        <v>2206.5549269445528</v>
      </c>
      <c r="KV18" s="6">
        <f t="shared" si="152"/>
        <v>4527.9123257318915</v>
      </c>
      <c r="KW18" s="6"/>
      <c r="KX18" s="6">
        <f t="shared" si="153"/>
        <v>43898.339387114975</v>
      </c>
      <c r="KY18" s="6">
        <f t="shared" si="154"/>
        <v>114.80247184278558</v>
      </c>
      <c r="KZ18" s="6">
        <v>3.1981026479999999</v>
      </c>
      <c r="LA18" s="6">
        <f t="shared" si="155"/>
        <v>2193.1948339454398</v>
      </c>
      <c r="LB18" s="6">
        <v>3.4326448799999998</v>
      </c>
      <c r="LC18" s="6">
        <f t="shared" si="156"/>
        <v>2354.0392058063999</v>
      </c>
      <c r="LD18" s="6">
        <f t="shared" si="157"/>
        <v>-160.84437186095994</v>
      </c>
      <c r="LF18" s="5">
        <v>46069</v>
      </c>
      <c r="LG18" s="6">
        <v>836260.32228180696</v>
      </c>
      <c r="LH18" s="6">
        <f t="shared" si="158"/>
        <v>2186.9791304719656</v>
      </c>
      <c r="LI18" s="6">
        <v>822254.77245942201</v>
      </c>
      <c r="LJ18" s="6">
        <f t="shared" si="159"/>
        <v>2150.3519650352928</v>
      </c>
      <c r="LK18" s="6">
        <f t="shared" si="160"/>
        <v>4337.3310955072584</v>
      </c>
      <c r="LL18" s="6"/>
      <c r="LM18" s="6">
        <f t="shared" si="161"/>
        <v>14005.549822384957</v>
      </c>
      <c r="LN18" s="6">
        <f t="shared" si="162"/>
        <v>36.627165436673025</v>
      </c>
      <c r="LO18" s="6">
        <v>35.338703350000003</v>
      </c>
      <c r="LP18" s="6">
        <f t="shared" si="163"/>
        <v>2124.2094583685002</v>
      </c>
      <c r="LQ18" s="6">
        <v>36.659824800000003</v>
      </c>
      <c r="LR18" s="6">
        <f t="shared" si="164"/>
        <v>2203.6220687280002</v>
      </c>
      <c r="LS18" s="6">
        <f t="shared" si="165"/>
        <v>-79.412610359499979</v>
      </c>
      <c r="LU18" s="5">
        <v>46069</v>
      </c>
      <c r="LV18" s="6">
        <v>836209.63085194502</v>
      </c>
      <c r="LW18" s="6">
        <f t="shared" si="166"/>
        <v>2186.8465627819196</v>
      </c>
      <c r="LX18" s="6">
        <v>815554.93443475512</v>
      </c>
      <c r="LY18" s="6">
        <f t="shared" si="167"/>
        <v>2132.8306196514668</v>
      </c>
      <c r="LZ18" s="6">
        <f t="shared" si="168"/>
        <v>4319.6771824333864</v>
      </c>
      <c r="MA18" s="6"/>
      <c r="MB18" s="6">
        <f t="shared" si="169"/>
        <v>20654.696417189902</v>
      </c>
      <c r="MC18" s="6">
        <f t="shared" si="170"/>
        <v>54.01594313045301</v>
      </c>
      <c r="MD18" s="6">
        <v>35.057349160000001</v>
      </c>
      <c r="ME18" s="6">
        <f t="shared" si="171"/>
        <v>2107.2972580076002</v>
      </c>
      <c r="MF18" s="6">
        <v>36.659824800000003</v>
      </c>
      <c r="MG18" s="6">
        <f t="shared" si="172"/>
        <v>2203.6220687280002</v>
      </c>
      <c r="MH18" s="6">
        <f t="shared" si="173"/>
        <v>-96.324810720400095</v>
      </c>
      <c r="MJ18" s="5">
        <v>46069</v>
      </c>
      <c r="MK18" s="6">
        <v>863869.99460545206</v>
      </c>
      <c r="ML18" s="6">
        <f t="shared" si="174"/>
        <v>2259.1836528702356</v>
      </c>
      <c r="MM18" s="6">
        <v>843789.85173061001</v>
      </c>
      <c r="MN18" s="6">
        <f t="shared" si="175"/>
        <v>2206.6702760734629</v>
      </c>
      <c r="MO18" s="6">
        <f t="shared" si="176"/>
        <v>4465.8539289436985</v>
      </c>
      <c r="MP18" s="6"/>
      <c r="MQ18" s="6">
        <f t="shared" si="177"/>
        <v>20080.142874842044</v>
      </c>
      <c r="MR18" s="6">
        <f t="shared" si="178"/>
        <v>52.513376796772448</v>
      </c>
      <c r="MS18" s="6">
        <v>7.1257808799999998</v>
      </c>
      <c r="MT18" s="6">
        <f t="shared" si="179"/>
        <v>2191.9614564968001</v>
      </c>
      <c r="MU18" s="6">
        <v>7.438643439999999</v>
      </c>
      <c r="MV18" s="6">
        <f t="shared" si="180"/>
        <v>2288.2011085783997</v>
      </c>
      <c r="MW18" s="6">
        <f t="shared" si="181"/>
        <v>-96.239652081599772</v>
      </c>
      <c r="MY18" s="5">
        <v>46069</v>
      </c>
      <c r="MZ18" s="6">
        <v>883324.37181609904</v>
      </c>
      <c r="NA18" s="6">
        <f t="shared" si="182"/>
        <v>2310.0605339351209</v>
      </c>
      <c r="NB18" s="6">
        <v>843789.85173061001</v>
      </c>
      <c r="NC18" s="6">
        <f t="shared" si="183"/>
        <v>2206.6702760734629</v>
      </c>
      <c r="ND18" s="6">
        <f t="shared" si="184"/>
        <v>4516.7308100085838</v>
      </c>
      <c r="NE18" s="6"/>
      <c r="NF18" s="6">
        <f t="shared" si="185"/>
        <v>39534.520085489028</v>
      </c>
      <c r="NG18" s="6">
        <f t="shared" si="186"/>
        <v>103.390257861658</v>
      </c>
      <c r="NH18" s="6">
        <v>7.1251198200000001</v>
      </c>
      <c r="NI18" s="6">
        <f t="shared" si="187"/>
        <v>2191.7581078302001</v>
      </c>
      <c r="NJ18" s="6">
        <v>7.6094815099999993</v>
      </c>
      <c r="NK18" s="6">
        <f t="shared" si="188"/>
        <v>2340.7526072911</v>
      </c>
      <c r="NL18" s="6">
        <f t="shared" si="189"/>
        <v>-148.99449946089976</v>
      </c>
      <c r="NN18" s="5">
        <v>46069</v>
      </c>
      <c r="NO18" s="6">
        <v>817968.11757440597</v>
      </c>
      <c r="NP18" s="6">
        <f t="shared" si="190"/>
        <v>2139.1415506185404</v>
      </c>
      <c r="NQ18" s="6">
        <v>772693.92474358995</v>
      </c>
      <c r="NR18" s="6">
        <f t="shared" si="191"/>
        <v>2020.7409614338342</v>
      </c>
      <c r="NS18" s="6">
        <f t="shared" si="192"/>
        <v>4159.8825120523743</v>
      </c>
      <c r="NT18" s="6"/>
      <c r="NU18" s="6">
        <f t="shared" si="193"/>
        <v>45274.192830816028</v>
      </c>
      <c r="NV18" s="6">
        <f t="shared" si="194"/>
        <v>118.40058918470608</v>
      </c>
      <c r="NW18" s="16">
        <v>276226.671607</v>
      </c>
      <c r="NX18" s="6">
        <f t="shared" si="195"/>
        <v>1983.3075021382599</v>
      </c>
      <c r="NY18" s="6">
        <v>304418.26980100002</v>
      </c>
      <c r="NZ18" s="6">
        <f>NY18*N18</f>
        <v>2185.7231771711799</v>
      </c>
      <c r="OA18" s="6">
        <f t="shared" si="197"/>
        <v>-202.41567503292015</v>
      </c>
      <c r="OC18" s="5">
        <v>46069</v>
      </c>
      <c r="OD18" s="6">
        <v>811143.001171435</v>
      </c>
      <c r="OE18" s="6">
        <f t="shared" si="198"/>
        <v>2121.2925785477246</v>
      </c>
      <c r="OF18" s="6">
        <v>782352.98402449314</v>
      </c>
      <c r="OG18" s="6">
        <f t="shared" si="199"/>
        <v>2046.0012308792241</v>
      </c>
      <c r="OH18" s="6">
        <f t="shared" si="200"/>
        <v>4167.2938094269484</v>
      </c>
      <c r="OI18" s="6"/>
      <c r="OJ18" s="6">
        <f t="shared" si="201"/>
        <v>28790.017146941856</v>
      </c>
      <c r="OK18" s="6">
        <f t="shared" si="202"/>
        <v>75.291347668500592</v>
      </c>
      <c r="OL18" s="6">
        <v>279718.15348799998</v>
      </c>
      <c r="OM18" s="6">
        <f t="shared" si="203"/>
        <v>2008.3763420438397</v>
      </c>
      <c r="ON18" s="6">
        <v>301889.97876899998</v>
      </c>
      <c r="OO18" s="6">
        <f t="shared" si="204"/>
        <v>2167.5700475614199</v>
      </c>
      <c r="OP18" s="6">
        <f t="shared" si="205"/>
        <v>-159.19370551757999</v>
      </c>
    </row>
    <row r="19" spans="1:406" x14ac:dyDescent="0.2">
      <c r="A19" s="5">
        <v>46070</v>
      </c>
      <c r="B19" s="10">
        <v>162.68</v>
      </c>
      <c r="C19" s="6">
        <v>74.75</v>
      </c>
      <c r="D19" s="6">
        <v>181.66</v>
      </c>
      <c r="E19" s="6">
        <v>452.72</v>
      </c>
      <c r="F19" s="6">
        <v>452.72</v>
      </c>
      <c r="G19" s="2">
        <v>2.1700000000000001E-3</v>
      </c>
      <c r="H19" s="6">
        <v>3.3570000000000002</v>
      </c>
      <c r="I19" s="6">
        <v>599.08000000000004</v>
      </c>
      <c r="J19" s="6">
        <v>132.03</v>
      </c>
      <c r="K19" s="6">
        <v>681.49</v>
      </c>
      <c r="L19" s="6">
        <v>59.73</v>
      </c>
      <c r="M19" s="6">
        <v>304.12</v>
      </c>
      <c r="N19" s="6">
        <v>7.11E-3</v>
      </c>
      <c r="O19" s="6">
        <v>86.171999999999997</v>
      </c>
      <c r="P19" s="7">
        <v>3.0090000000000002E-5</v>
      </c>
      <c r="R19" s="5">
        <v>46070</v>
      </c>
      <c r="S19" s="6">
        <v>826074.00969265099</v>
      </c>
      <c r="T19" s="6">
        <f t="shared" si="0"/>
        <v>2141.9400873577451</v>
      </c>
      <c r="U19" s="6">
        <v>857319.56011514994</v>
      </c>
      <c r="V19" s="6">
        <f t="shared" si="1"/>
        <v>2222.9571587293631</v>
      </c>
      <c r="W19" s="6">
        <f t="shared" si="2"/>
        <v>4364.8972460871082</v>
      </c>
      <c r="X19" s="6"/>
      <c r="Y19" s="6">
        <f t="shared" si="3"/>
        <v>-31245.550422498956</v>
      </c>
      <c r="Z19" s="6">
        <f t="shared" si="4"/>
        <v>-81.017071371618087</v>
      </c>
      <c r="AA19" s="6">
        <v>13.286848060000001</v>
      </c>
      <c r="AB19" s="6">
        <f t="shared" si="5"/>
        <v>2161.5044424008001</v>
      </c>
      <c r="AC19" s="6">
        <v>13.05808609</v>
      </c>
      <c r="AD19" s="6">
        <f t="shared" si="6"/>
        <v>2124.2894451212001</v>
      </c>
      <c r="AE19" s="6">
        <f t="shared" si="7"/>
        <v>37.214997279600126</v>
      </c>
      <c r="AG19" s="5">
        <v>46070</v>
      </c>
      <c r="AH19" s="6">
        <v>848314.96082859393</v>
      </c>
      <c r="AI19" s="6">
        <f t="shared" si="8"/>
        <v>2199.608993848055</v>
      </c>
      <c r="AJ19" s="6">
        <v>857319.56011514994</v>
      </c>
      <c r="AK19" s="6">
        <f t="shared" si="9"/>
        <v>2222.9571587293631</v>
      </c>
      <c r="AL19" s="6">
        <f t="shared" si="10"/>
        <v>4422.5661525774176</v>
      </c>
      <c r="AM19" s="6"/>
      <c r="AN19" s="6">
        <f t="shared" si="11"/>
        <v>-9004.5992865560111</v>
      </c>
      <c r="AO19" s="6">
        <f t="shared" si="12"/>
        <v>-23.348164881308037</v>
      </c>
      <c r="AP19" s="6">
        <v>13.285569840000001</v>
      </c>
      <c r="AQ19" s="6">
        <f t="shared" si="13"/>
        <v>2161.2965015712002</v>
      </c>
      <c r="AR19" s="6">
        <v>13.41164592</v>
      </c>
      <c r="AS19" s="6">
        <f t="shared" si="14"/>
        <v>2181.8065582656</v>
      </c>
      <c r="AT19" s="6">
        <f t="shared" si="15"/>
        <v>-20.510056694399825</v>
      </c>
      <c r="AV19" s="5">
        <v>46070</v>
      </c>
      <c r="AW19" s="6">
        <v>832705.69478144904</v>
      </c>
      <c r="AX19" s="6">
        <f t="shared" si="16"/>
        <v>2159.1354862829744</v>
      </c>
      <c r="AY19" s="6">
        <v>857470.48577536503</v>
      </c>
      <c r="AZ19" s="6">
        <f t="shared" si="17"/>
        <v>2223.3484962100638</v>
      </c>
      <c r="BA19" s="6">
        <f t="shared" si="18"/>
        <v>4382.4839824930386</v>
      </c>
      <c r="BB19" s="6"/>
      <c r="BC19" s="6">
        <f t="shared" si="206"/>
        <v>-24764.790993915987</v>
      </c>
      <c r="BD19" s="6">
        <f t="shared" si="19"/>
        <v>-64.213009927089345</v>
      </c>
      <c r="BE19" s="6">
        <v>29.025766149999999</v>
      </c>
      <c r="BF19" s="6">
        <f>BE19*C19</f>
        <v>2169.6760197125</v>
      </c>
      <c r="BG19" s="6">
        <v>28.75746011</v>
      </c>
      <c r="BH19" s="6">
        <f t="shared" si="21"/>
        <v>2149.6201432224998</v>
      </c>
      <c r="BI19" s="6">
        <f t="shared" si="22"/>
        <v>20.05587648999991</v>
      </c>
      <c r="BK19" s="5">
        <v>46070</v>
      </c>
      <c r="BL19" s="6">
        <v>863425.41636633</v>
      </c>
      <c r="BM19" s="6">
        <f t="shared" si="23"/>
        <v>2238.7891279217024</v>
      </c>
      <c r="BN19" s="6">
        <v>857470.48577536503</v>
      </c>
      <c r="BO19" s="6">
        <f t="shared" si="24"/>
        <v>2223.3484962100638</v>
      </c>
      <c r="BP19" s="6">
        <f t="shared" si="25"/>
        <v>4462.1376241317666</v>
      </c>
      <c r="BQ19" s="6"/>
      <c r="BR19" s="6">
        <f t="shared" si="26"/>
        <v>5954.9305909649702</v>
      </c>
      <c r="BS19" s="6">
        <f t="shared" si="27"/>
        <v>15.44063171163862</v>
      </c>
      <c r="BT19" s="6">
        <v>29.022894860000001</v>
      </c>
      <c r="BU19" s="6">
        <f t="shared" si="28"/>
        <v>2169.4613907850003</v>
      </c>
      <c r="BV19" s="6">
        <v>29.824710889999999</v>
      </c>
      <c r="BW19" s="6">
        <f t="shared" si="29"/>
        <v>2229.3971390275001</v>
      </c>
      <c r="BX19" s="6">
        <f t="shared" si="30"/>
        <v>-59.935748242499827</v>
      </c>
      <c r="BZ19" s="5">
        <v>46070</v>
      </c>
      <c r="CA19" s="6">
        <v>847044.49207920115</v>
      </c>
      <c r="CB19" s="6">
        <f t="shared" si="31"/>
        <v>2196.3147757608981</v>
      </c>
      <c r="CC19" s="6">
        <v>837613.64960005402</v>
      </c>
      <c r="CD19" s="6">
        <f t="shared" si="32"/>
        <v>2171.861398307276</v>
      </c>
      <c r="CE19" s="6">
        <f t="shared" si="33"/>
        <v>4368.1761740681741</v>
      </c>
      <c r="CF19" s="6"/>
      <c r="CG19" s="6">
        <f t="shared" si="34"/>
        <v>9430.8424791471334</v>
      </c>
      <c r="CH19" s="6">
        <f t="shared" si="35"/>
        <v>24.453377453622181</v>
      </c>
      <c r="CI19" s="6">
        <v>11.68860372</v>
      </c>
      <c r="CJ19" s="6">
        <f>CI19*D19</f>
        <v>2123.3517517751998</v>
      </c>
      <c r="CK19" s="6">
        <v>12.05914896</v>
      </c>
      <c r="CL19" s="6">
        <f>CK19*D19</f>
        <v>2190.6650000735999</v>
      </c>
      <c r="CM19" s="6">
        <f t="shared" si="38"/>
        <v>-67.31324829840004</v>
      </c>
      <c r="CO19" s="5">
        <v>46070</v>
      </c>
      <c r="CP19" s="6">
        <v>846992.18149863603</v>
      </c>
      <c r="CQ19" s="6">
        <f t="shared" si="39"/>
        <v>2196.1791388467832</v>
      </c>
      <c r="CR19" s="6">
        <v>844780.83528538106</v>
      </c>
      <c r="CS19" s="6">
        <f t="shared" si="40"/>
        <v>2190.4453050187949</v>
      </c>
      <c r="CT19" s="6">
        <f t="shared" si="41"/>
        <v>4386.6244438655776</v>
      </c>
      <c r="CU19" s="6"/>
      <c r="CV19" s="6">
        <f t="shared" si="42"/>
        <v>2211.3462132549612</v>
      </c>
      <c r="CW19" s="6">
        <f t="shared" si="43"/>
        <v>5.7338338279881702</v>
      </c>
      <c r="CX19" s="6">
        <v>11.783159169999999</v>
      </c>
      <c r="CY19" s="6">
        <f t="shared" si="44"/>
        <v>2140.5286948221997</v>
      </c>
      <c r="CZ19" s="6">
        <v>12.05914896</v>
      </c>
      <c r="DA19" s="6">
        <f t="shared" si="45"/>
        <v>2190.6650000735999</v>
      </c>
      <c r="DB19" s="6">
        <f t="shared" si="46"/>
        <v>-50.136305251400103</v>
      </c>
      <c r="DD19" s="5">
        <v>46070</v>
      </c>
      <c r="DE19" s="6">
        <v>846633.12244128098</v>
      </c>
      <c r="DF19" s="6">
        <f t="shared" si="47"/>
        <v>2195.248129058733</v>
      </c>
      <c r="DG19" s="6">
        <v>857283.57975510694</v>
      </c>
      <c r="DH19" s="6">
        <f t="shared" si="48"/>
        <v>2222.8638646968316</v>
      </c>
      <c r="DI19" s="6">
        <f t="shared" si="49"/>
        <v>4418.111993755565</v>
      </c>
      <c r="DJ19" s="6"/>
      <c r="DK19" s="6">
        <f t="shared" si="50"/>
        <v>-10650.457313825958</v>
      </c>
      <c r="DL19" s="6">
        <f t="shared" si="51"/>
        <v>-27.615735638098545</v>
      </c>
      <c r="DM19" s="6">
        <v>4.8332776499999994</v>
      </c>
      <c r="DN19" s="6">
        <f t="shared" si="52"/>
        <v>2188.121457708</v>
      </c>
      <c r="DO19" s="6">
        <v>4.8709155699999993</v>
      </c>
      <c r="DP19" s="6">
        <f t="shared" si="53"/>
        <v>2205.1608968503997</v>
      </c>
      <c r="DQ19" s="6">
        <f t="shared" si="54"/>
        <v>-17.039439142399946</v>
      </c>
      <c r="DS19" s="5">
        <v>46070</v>
      </c>
      <c r="DT19" s="6">
        <v>816749.31004367094</v>
      </c>
      <c r="DU19" s="6">
        <f t="shared" si="55"/>
        <v>2117.7619292915538</v>
      </c>
      <c r="DV19" s="6">
        <v>853782.44330143114</v>
      </c>
      <c r="DW19" s="6">
        <f t="shared" si="56"/>
        <v>2213.785713788503</v>
      </c>
      <c r="DX19" s="6">
        <f t="shared" si="57"/>
        <v>4331.5476430800572</v>
      </c>
      <c r="DY19" s="6"/>
      <c r="DZ19" s="6">
        <f t="shared" si="58"/>
        <v>-37033.133257760201</v>
      </c>
      <c r="EA19" s="6">
        <f t="shared" si="59"/>
        <v>-96.023784496949261</v>
      </c>
      <c r="EB19" s="6">
        <v>4.8133327799999996</v>
      </c>
      <c r="EC19" s="6">
        <f t="shared" si="60"/>
        <v>2179.0920161616</v>
      </c>
      <c r="ED19">
        <v>4.69784427</v>
      </c>
      <c r="EE19" s="6">
        <f t="shared" si="61"/>
        <v>2126.8080579144003</v>
      </c>
      <c r="EF19" s="6">
        <f t="shared" si="62"/>
        <v>52.28395824719982</v>
      </c>
      <c r="EH19" s="5">
        <v>46070</v>
      </c>
      <c r="EI19" s="6">
        <v>2376453.81903745</v>
      </c>
      <c r="EJ19" s="6">
        <f t="shared" si="63"/>
        <v>6161.9438948873221</v>
      </c>
      <c r="EK19" s="6">
        <v>2349895.7587151541</v>
      </c>
      <c r="EL19" s="6">
        <f t="shared" si="64"/>
        <v>6093.081089158869</v>
      </c>
      <c r="EM19" s="6">
        <f t="shared" si="65"/>
        <v>12255.024984046191</v>
      </c>
      <c r="EN19" s="6"/>
      <c r="EO19" s="6">
        <f t="shared" si="66"/>
        <v>26558.060322295874</v>
      </c>
      <c r="EP19" s="6">
        <f t="shared" si="67"/>
        <v>68.862805728454759</v>
      </c>
      <c r="EQ19" s="6">
        <v>14.65213833</v>
      </c>
      <c r="ER19" s="6">
        <f t="shared" si="68"/>
        <v>6633.3160647576005</v>
      </c>
      <c r="ES19" s="6">
        <v>14.879034770000001</v>
      </c>
      <c r="ET19" s="6">
        <f t="shared" si="69"/>
        <v>6736.0366210744005</v>
      </c>
      <c r="EU19" s="6">
        <f t="shared" si="70"/>
        <v>-102.7205563168004</v>
      </c>
      <c r="EW19" s="5">
        <v>46070</v>
      </c>
      <c r="EX19" s="6">
        <v>2365699.5013465029</v>
      </c>
      <c r="EY19" s="6">
        <f t="shared" si="71"/>
        <v>6134.0588580696285</v>
      </c>
      <c r="EZ19" s="6">
        <v>2343596.8699121629</v>
      </c>
      <c r="FA19" s="6">
        <f t="shared" si="72"/>
        <v>6076.7486028747935</v>
      </c>
      <c r="FB19" s="6">
        <f t="shared" si="73"/>
        <v>12210.807460944423</v>
      </c>
      <c r="FC19" s="6"/>
      <c r="FD19" s="6">
        <f t="shared" si="74"/>
        <v>22102.63143434003</v>
      </c>
      <c r="FE19" s="6">
        <f t="shared" si="75"/>
        <v>57.310255194834873</v>
      </c>
      <c r="FF19" s="6">
        <v>14.578837200000001</v>
      </c>
      <c r="FG19" s="6">
        <f t="shared" si="76"/>
        <v>6600.131177184001</v>
      </c>
      <c r="FH19" s="6">
        <v>14.818333089999999</v>
      </c>
      <c r="FI19" s="6">
        <f t="shared" si="77"/>
        <v>6708.5557565048002</v>
      </c>
      <c r="FJ19" s="6">
        <f t="shared" si="78"/>
        <v>-108.42457932079948</v>
      </c>
      <c r="FL19" s="5">
        <v>46070</v>
      </c>
      <c r="FM19" s="6">
        <v>650271.86663529905</v>
      </c>
      <c r="FN19" s="6">
        <f t="shared" si="79"/>
        <v>1686.0999892071623</v>
      </c>
      <c r="FO19" s="6">
        <v>654413.01948694291</v>
      </c>
      <c r="FP19" s="6">
        <f t="shared" si="80"/>
        <v>1696.8376485412359</v>
      </c>
      <c r="FQ19" s="6">
        <f t="shared" si="81"/>
        <v>3382.9376377483982</v>
      </c>
      <c r="FR19" s="6"/>
      <c r="FS19" s="6">
        <f t="shared" si="82"/>
        <v>-4141.1528516438557</v>
      </c>
      <c r="FT19" s="6">
        <f t="shared" si="83"/>
        <v>-10.737659334073497</v>
      </c>
      <c r="FU19" s="6">
        <v>745138.74311900011</v>
      </c>
      <c r="FV19" s="6">
        <f t="shared" si="84"/>
        <v>1616.9510725682303</v>
      </c>
      <c r="FW19" s="6">
        <v>770750.15513100009</v>
      </c>
      <c r="FX19" s="6">
        <f t="shared" si="85"/>
        <v>1672.5278366342702</v>
      </c>
      <c r="FY19" s="6">
        <f t="shared" si="86"/>
        <v>-55.576764066039971</v>
      </c>
      <c r="GA19" s="5">
        <v>46070</v>
      </c>
      <c r="GB19" s="6">
        <v>650235.25870162295</v>
      </c>
      <c r="GC19" s="6">
        <f t="shared" si="87"/>
        <v>1686.0050679292428</v>
      </c>
      <c r="GD19" s="6">
        <v>663905.15980615502</v>
      </c>
      <c r="GE19" s="6">
        <f t="shared" si="88"/>
        <v>1721.4499661132531</v>
      </c>
      <c r="GF19" s="6">
        <f t="shared" si="89"/>
        <v>3407.4550340424958</v>
      </c>
      <c r="GG19" s="6"/>
      <c r="GH19" s="6">
        <f t="shared" si="90"/>
        <v>-13669.901104532066</v>
      </c>
      <c r="GI19" s="6">
        <f t="shared" si="91"/>
        <v>-35.444898184010292</v>
      </c>
      <c r="GJ19" s="6">
        <v>755423.57617899997</v>
      </c>
      <c r="GK19" s="6">
        <f t="shared" si="92"/>
        <v>1639.2691603084299</v>
      </c>
      <c r="GL19" s="6">
        <v>770750.15513100009</v>
      </c>
      <c r="GM19" s="6">
        <f t="shared" si="93"/>
        <v>1672.5278366342702</v>
      </c>
      <c r="GN19" s="6">
        <f t="shared" si="94"/>
        <v>-33.258676325840277</v>
      </c>
      <c r="GP19" s="5">
        <v>46070</v>
      </c>
      <c r="GQ19" s="6">
        <v>657303.32033857307</v>
      </c>
      <c r="GR19" s="6">
        <f t="shared" si="95"/>
        <v>1704.3319543612849</v>
      </c>
      <c r="GS19" s="6">
        <v>658342.29581490601</v>
      </c>
      <c r="GT19" s="6">
        <f t="shared" si="96"/>
        <v>1707.025929957209</v>
      </c>
      <c r="GU19" s="6">
        <f t="shared" si="97"/>
        <v>3411.3578843184941</v>
      </c>
      <c r="GV19" s="6"/>
      <c r="GW19" s="6">
        <f t="shared" si="98"/>
        <v>-1038.9754763329402</v>
      </c>
      <c r="GX19" s="6">
        <f t="shared" si="99"/>
        <v>-2.6939755959240546</v>
      </c>
      <c r="GY19" s="6">
        <v>487.27769100000012</v>
      </c>
      <c r="GZ19" s="6">
        <f t="shared" si="100"/>
        <v>1635.7912086870006</v>
      </c>
      <c r="HA19" s="6">
        <v>505.99152400000003</v>
      </c>
      <c r="HB19" s="6">
        <f t="shared" si="101"/>
        <v>1698.6135460680002</v>
      </c>
      <c r="HC19" s="6">
        <f t="shared" si="207"/>
        <v>-62.822337380999699</v>
      </c>
      <c r="HE19" s="5">
        <v>46070</v>
      </c>
      <c r="HF19" s="6">
        <v>657265.45927066705</v>
      </c>
      <c r="HG19" s="6">
        <f t="shared" si="102"/>
        <v>1704.2337838122221</v>
      </c>
      <c r="HH19" s="6">
        <v>688786.12195081601</v>
      </c>
      <c r="HI19" s="6">
        <f t="shared" si="103"/>
        <v>1785.9641980154388</v>
      </c>
      <c r="HJ19" s="6">
        <f t="shared" si="104"/>
        <v>3490.1979818276609</v>
      </c>
      <c r="HK19" s="6"/>
      <c r="HL19" s="6">
        <f t="shared" si="105"/>
        <v>-31520.662680148962</v>
      </c>
      <c r="HM19" s="6">
        <f t="shared" si="106"/>
        <v>-81.73041420321654</v>
      </c>
      <c r="HN19" s="6">
        <v>509.37892599999992</v>
      </c>
      <c r="HO19" s="6">
        <f t="shared" si="107"/>
        <v>1709.9850545819997</v>
      </c>
      <c r="HP19" s="6">
        <v>505.99152400000003</v>
      </c>
      <c r="HQ19" s="6">
        <f t="shared" si="108"/>
        <v>1698.6135460680002</v>
      </c>
      <c r="HR19" s="6">
        <f t="shared" si="109"/>
        <v>11.371508513999649</v>
      </c>
      <c r="HT19" s="5">
        <v>46070</v>
      </c>
      <c r="HU19" s="6">
        <v>707494.92999014596</v>
      </c>
      <c r="HV19" s="6">
        <f t="shared" si="110"/>
        <v>1834.4745559929659</v>
      </c>
      <c r="HW19" s="6">
        <v>661880.66200172191</v>
      </c>
      <c r="HX19" s="6">
        <f t="shared" si="111"/>
        <v>1716.2006144169127</v>
      </c>
      <c r="HY19" s="6">
        <f t="shared" si="112"/>
        <v>3550.6751704098788</v>
      </c>
      <c r="HZ19" s="6"/>
      <c r="IA19" s="6">
        <f t="shared" si="113"/>
        <v>45614.26798842405</v>
      </c>
      <c r="IB19" s="6">
        <f t="shared" si="114"/>
        <v>118.27394157605318</v>
      </c>
      <c r="IC19" s="6">
        <v>2.7999278400000001</v>
      </c>
      <c r="ID19" s="6">
        <f t="shared" si="115"/>
        <v>1677.3807703872001</v>
      </c>
      <c r="IE19" s="6">
        <v>3.1120500400000011</v>
      </c>
      <c r="IF19" s="6">
        <f t="shared" si="116"/>
        <v>1864.3669379632008</v>
      </c>
      <c r="IG19" s="6">
        <f t="shared" si="117"/>
        <v>-186.98616757600061</v>
      </c>
      <c r="II19" s="5">
        <v>46070</v>
      </c>
      <c r="IJ19" s="6">
        <v>690392.94580773509</v>
      </c>
      <c r="IK19" s="6">
        <f t="shared" si="118"/>
        <v>1790.1305564676775</v>
      </c>
      <c r="IL19" s="6">
        <v>661880.66200172191</v>
      </c>
      <c r="IM19" s="6">
        <f t="shared" si="119"/>
        <v>1716.2006144169127</v>
      </c>
      <c r="IN19" s="6">
        <f t="shared" si="120"/>
        <v>3506.3311708845904</v>
      </c>
      <c r="IO19" s="6"/>
      <c r="IP19" s="6">
        <f t="shared" si="121"/>
        <v>28512.283806013176</v>
      </c>
      <c r="IQ19" s="6">
        <f t="shared" si="122"/>
        <v>73.929942050764879</v>
      </c>
      <c r="IR19" s="6">
        <v>2.7998147699999998</v>
      </c>
      <c r="IS19" s="6">
        <f t="shared" si="123"/>
        <v>1677.3130324116</v>
      </c>
      <c r="IT19" s="6">
        <v>3.0393669299999999</v>
      </c>
      <c r="IU19" s="6">
        <f t="shared" si="124"/>
        <v>1820.8239404244</v>
      </c>
      <c r="IV19" s="6">
        <f t="shared" si="125"/>
        <v>-143.51090801280009</v>
      </c>
      <c r="IX19" s="5">
        <v>46070</v>
      </c>
      <c r="IY19" s="6">
        <v>853881.705420085</v>
      </c>
      <c r="IZ19" s="6">
        <f t="shared" si="126"/>
        <v>2214.0430920725385</v>
      </c>
      <c r="JA19" s="6">
        <v>857256.29706147488</v>
      </c>
      <c r="JB19" s="6">
        <f t="shared" si="127"/>
        <v>2222.7931229781766</v>
      </c>
      <c r="JC19" s="6">
        <f t="shared" si="128"/>
        <v>4436.8362150507146</v>
      </c>
      <c r="JD19" s="6"/>
      <c r="JE19" s="6">
        <f t="shared" si="129"/>
        <v>-3374.5916413898813</v>
      </c>
      <c r="JF19" s="6">
        <f t="shared" si="130"/>
        <v>-8.7500309056384324</v>
      </c>
      <c r="JG19" s="6">
        <v>16.615952709999998</v>
      </c>
      <c r="JH19" s="6">
        <f t="shared" si="131"/>
        <v>2193.8042363012996</v>
      </c>
      <c r="JI19" s="6">
        <v>16.878625230000001</v>
      </c>
      <c r="JJ19" s="6">
        <f t="shared" si="132"/>
        <v>2228.4848891168999</v>
      </c>
      <c r="JK19" s="6">
        <f t="shared" si="133"/>
        <v>-34.680652815600318</v>
      </c>
      <c r="JM19" s="5">
        <v>46070</v>
      </c>
      <c r="JN19" s="6">
        <v>857454.65064743394</v>
      </c>
      <c r="JO19" s="6">
        <f t="shared" si="134"/>
        <v>2223.3074370617232</v>
      </c>
      <c r="JP19" s="6">
        <v>857256.29706147488</v>
      </c>
      <c r="JQ19" s="6">
        <f t="shared" si="135"/>
        <v>2222.7931229781766</v>
      </c>
      <c r="JR19" s="6">
        <f t="shared" si="136"/>
        <v>4446.1005600399003</v>
      </c>
      <c r="JS19" s="6"/>
      <c r="JT19" s="6">
        <f t="shared" si="137"/>
        <v>198.35358595906291</v>
      </c>
      <c r="JU19" s="6">
        <f t="shared" si="138"/>
        <v>0.51431408354676489</v>
      </c>
      <c r="JV19" s="6">
        <v>16.61454749</v>
      </c>
      <c r="JW19" s="6">
        <f t="shared" si="139"/>
        <v>2193.6187051047</v>
      </c>
      <c r="JX19" s="6">
        <v>16.95703396</v>
      </c>
      <c r="JY19" s="6">
        <f t="shared" si="140"/>
        <v>2238.8371937388001</v>
      </c>
      <c r="JZ19" s="6">
        <f t="shared" si="141"/>
        <v>-45.218488634100105</v>
      </c>
      <c r="KB19" s="5">
        <v>46070</v>
      </c>
      <c r="KC19" s="6">
        <v>859158.40087420598</v>
      </c>
      <c r="KD19" s="6">
        <f t="shared" si="142"/>
        <v>2227.7251173987743</v>
      </c>
      <c r="KE19" s="6">
        <v>857347.086968138</v>
      </c>
      <c r="KF19" s="6">
        <f t="shared" si="143"/>
        <v>2223.0285335325912</v>
      </c>
      <c r="KG19" s="6">
        <f t="shared" si="144"/>
        <v>4450.753650931365</v>
      </c>
      <c r="KH19" s="6"/>
      <c r="KI19" s="6">
        <f t="shared" si="145"/>
        <v>1811.3139060679823</v>
      </c>
      <c r="KJ19" s="6">
        <f t="shared" si="146"/>
        <v>4.6965838661829373</v>
      </c>
      <c r="KK19" s="6">
        <v>3.2102505840000002</v>
      </c>
      <c r="KL19" s="6">
        <f t="shared" si="147"/>
        <v>2187.7536704901599</v>
      </c>
      <c r="KM19" s="6">
        <v>3.2825501510000001</v>
      </c>
      <c r="KN19" s="6">
        <f t="shared" si="148"/>
        <v>2237.0251024049903</v>
      </c>
      <c r="KO19" s="6">
        <f t="shared" si="149"/>
        <v>-49.271431914829968</v>
      </c>
      <c r="KQ19" s="5">
        <v>46070</v>
      </c>
      <c r="KR19" s="6">
        <v>842074.63077793701</v>
      </c>
      <c r="KS19" s="6">
        <f t="shared" si="150"/>
        <v>2183.4283454593974</v>
      </c>
      <c r="KT19" s="6">
        <v>853825.967497712</v>
      </c>
      <c r="KU19" s="6">
        <f t="shared" si="151"/>
        <v>2213.8985683507944</v>
      </c>
      <c r="KV19" s="6">
        <f t="shared" si="152"/>
        <v>4397.3269138101914</v>
      </c>
      <c r="KW19" s="6"/>
      <c r="KX19" s="6">
        <f t="shared" si="153"/>
        <v>-11751.33671977499</v>
      </c>
      <c r="KY19" s="6">
        <f t="shared" si="154"/>
        <v>-30.470222891396993</v>
      </c>
      <c r="KZ19" s="6">
        <v>3.1969550889999989</v>
      </c>
      <c r="LA19" s="6">
        <f t="shared" si="155"/>
        <v>2178.6929236026094</v>
      </c>
      <c r="LB19" s="6">
        <v>3.2165958360000002</v>
      </c>
      <c r="LC19" s="6">
        <f t="shared" si="156"/>
        <v>2192.0778962756403</v>
      </c>
      <c r="LD19" s="6">
        <f t="shared" si="157"/>
        <v>-13.38497267303088</v>
      </c>
      <c r="LF19" s="5">
        <v>46070</v>
      </c>
      <c r="LG19" s="6">
        <v>848734.18707566103</v>
      </c>
      <c r="LH19" s="6">
        <f t="shared" si="158"/>
        <v>2200.6960120736976</v>
      </c>
      <c r="LI19" s="6">
        <v>838117.91650587204</v>
      </c>
      <c r="LJ19" s="6">
        <f t="shared" si="159"/>
        <v>2173.1689197734231</v>
      </c>
      <c r="LK19" s="6">
        <f t="shared" si="160"/>
        <v>4373.8649318471207</v>
      </c>
      <c r="LL19" s="6"/>
      <c r="LM19" s="6">
        <f t="shared" si="161"/>
        <v>10616.270569788991</v>
      </c>
      <c r="LN19" s="6">
        <f t="shared" si="162"/>
        <v>27.527092300274294</v>
      </c>
      <c r="LO19" s="6">
        <v>35.429114149999997</v>
      </c>
      <c r="LP19" s="6">
        <f t="shared" si="163"/>
        <v>2116.1809881794998</v>
      </c>
      <c r="LQ19" s="6">
        <v>36.604357870000001</v>
      </c>
      <c r="LR19" s="6">
        <f t="shared" si="164"/>
        <v>2186.3782955750999</v>
      </c>
      <c r="LS19" s="6">
        <f t="shared" si="165"/>
        <v>-70.197307395600262</v>
      </c>
      <c r="LU19" s="5">
        <v>46070</v>
      </c>
      <c r="LV19" s="6">
        <v>848662.15005023999</v>
      </c>
      <c r="LW19" s="6">
        <f t="shared" si="166"/>
        <v>2200.50922615535</v>
      </c>
      <c r="LX19" s="6">
        <v>876113.13795173191</v>
      </c>
      <c r="LY19" s="6">
        <f t="shared" si="167"/>
        <v>2271.6873176264212</v>
      </c>
      <c r="LZ19" s="6">
        <f t="shared" si="168"/>
        <v>4472.1965437817707</v>
      </c>
      <c r="MA19" s="6"/>
      <c r="MB19" s="6">
        <f t="shared" si="169"/>
        <v>-27450.987901491928</v>
      </c>
      <c r="MC19" s="6">
        <f t="shared" si="170"/>
        <v>-71.178091471071141</v>
      </c>
      <c r="MD19" s="6">
        <v>36.980367469999997</v>
      </c>
      <c r="ME19" s="6">
        <f t="shared" si="171"/>
        <v>2208.8373489830997</v>
      </c>
      <c r="MF19" s="6">
        <v>36.604357870000001</v>
      </c>
      <c r="MG19" s="6">
        <f t="shared" si="172"/>
        <v>2186.3782955750999</v>
      </c>
      <c r="MH19" s="6">
        <f t="shared" si="173"/>
        <v>22.459053407999772</v>
      </c>
      <c r="MJ19" s="5">
        <v>46070</v>
      </c>
      <c r="MK19" s="15">
        <v>838896.13873502985</v>
      </c>
      <c r="ML19" s="6">
        <f>MK19*P19*O19</f>
        <v>2175.1867842382867</v>
      </c>
      <c r="MM19" s="6">
        <v>857321.26875365991</v>
      </c>
      <c r="MN19" s="6">
        <f t="shared" si="175"/>
        <v>2222.9615890846048</v>
      </c>
      <c r="MO19" s="6">
        <f t="shared" si="176"/>
        <v>4398.1483733228915</v>
      </c>
      <c r="MP19" s="6"/>
      <c r="MQ19" s="6">
        <f t="shared" si="177"/>
        <v>-18425.130018630065</v>
      </c>
      <c r="MR19" s="6">
        <f t="shared" si="178"/>
        <v>-47.774804846318581</v>
      </c>
      <c r="MS19" s="6">
        <v>7.1883902700000011</v>
      </c>
      <c r="MT19" s="6">
        <f t="shared" si="179"/>
        <v>2186.1332489124002</v>
      </c>
      <c r="MU19" s="6">
        <v>7.1750936299999983</v>
      </c>
      <c r="MV19" s="6">
        <f t="shared" si="180"/>
        <v>2182.0894747555994</v>
      </c>
      <c r="MW19" s="6">
        <f t="shared" si="181"/>
        <v>4.0437741568008354</v>
      </c>
      <c r="MY19" s="5">
        <v>46070</v>
      </c>
      <c r="MZ19" s="6">
        <v>828237.95268558897</v>
      </c>
      <c r="NA19" s="6">
        <f t="shared" si="182"/>
        <v>2147.5510086419713</v>
      </c>
      <c r="NB19" s="6">
        <v>857321.26875365991</v>
      </c>
      <c r="NC19" s="6">
        <f t="shared" si="183"/>
        <v>2222.9615890846048</v>
      </c>
      <c r="ND19" s="6">
        <f t="shared" si="184"/>
        <v>4370.5125977265761</v>
      </c>
      <c r="NE19" s="6"/>
      <c r="NF19" s="6">
        <f t="shared" si="185"/>
        <v>-29083.316068070941</v>
      </c>
      <c r="NG19" s="6">
        <f t="shared" si="186"/>
        <v>-75.410580442633886</v>
      </c>
      <c r="NH19" s="6">
        <v>7.1876864399999993</v>
      </c>
      <c r="NI19" s="6">
        <f t="shared" si="187"/>
        <v>2185.9192001327997</v>
      </c>
      <c r="NJ19" s="6">
        <v>7.0883733099999997</v>
      </c>
      <c r="NK19" s="6">
        <f t="shared" si="188"/>
        <v>2155.7160910371999</v>
      </c>
      <c r="NL19" s="6">
        <f t="shared" si="189"/>
        <v>30.203109095599892</v>
      </c>
      <c r="NN19" s="5">
        <v>46070</v>
      </c>
      <c r="NO19" s="6">
        <v>836658.51499437192</v>
      </c>
      <c r="NP19" s="6">
        <f t="shared" si="190"/>
        <v>2169.3848150027193</v>
      </c>
      <c r="NQ19" s="6">
        <v>818957.06641065807</v>
      </c>
      <c r="NR19" s="6">
        <f t="shared" si="191"/>
        <v>2123.4864549515837</v>
      </c>
      <c r="NS19" s="6">
        <f t="shared" si="192"/>
        <v>4292.871269954303</v>
      </c>
      <c r="NT19" s="6"/>
      <c r="NU19" s="6">
        <f t="shared" si="193"/>
        <v>17701.448583713849</v>
      </c>
      <c r="NV19" s="6">
        <f t="shared" si="194"/>
        <v>45.898360051135718</v>
      </c>
      <c r="NW19" s="6">
        <v>289621.17329699988</v>
      </c>
      <c r="NX19" s="6">
        <f t="shared" si="195"/>
        <v>2059.2065421416692</v>
      </c>
      <c r="NY19" s="6">
        <v>307930.49404700001</v>
      </c>
      <c r="NZ19" s="6">
        <f t="shared" si="196"/>
        <v>2189.3858126741702</v>
      </c>
      <c r="OA19" s="6">
        <f t="shared" si="197"/>
        <v>-130.17927053250094</v>
      </c>
      <c r="OC19" s="5">
        <v>46070</v>
      </c>
      <c r="OD19" s="6">
        <v>836624.16742406494</v>
      </c>
      <c r="OE19" s="6">
        <f>OD19*P19*O19</f>
        <v>2169.2957546559696</v>
      </c>
      <c r="OF19" s="6">
        <v>788506.17653042299</v>
      </c>
      <c r="OG19" s="6">
        <f t="shared" si="199"/>
        <v>2044.5298712013466</v>
      </c>
      <c r="OH19" s="6">
        <f t="shared" si="200"/>
        <v>4213.8256258573165</v>
      </c>
      <c r="OI19" s="6"/>
      <c r="OJ19" s="6">
        <f t="shared" si="201"/>
        <v>48117.990893641952</v>
      </c>
      <c r="OK19" s="6">
        <f t="shared" si="202"/>
        <v>124.76588345462325</v>
      </c>
      <c r="OL19" s="6">
        <v>278803.18236699997</v>
      </c>
      <c r="OM19" s="6">
        <f t="shared" si="203"/>
        <v>1982.2906266293699</v>
      </c>
      <c r="ON19" s="6">
        <v>307930.49404700001</v>
      </c>
      <c r="OO19" s="6">
        <f>ON19*N19</f>
        <v>2189.3858126741702</v>
      </c>
      <c r="OP19" s="6">
        <f t="shared" si="205"/>
        <v>-207.0951860448003</v>
      </c>
    </row>
    <row r="20" spans="1:406" x14ac:dyDescent="0.2">
      <c r="A20" s="5">
        <v>46071</v>
      </c>
      <c r="B20" s="10">
        <v>167.26</v>
      </c>
      <c r="C20" s="6">
        <v>76.22</v>
      </c>
      <c r="D20" s="6">
        <v>189.1</v>
      </c>
      <c r="E20" s="6">
        <v>452.06</v>
      </c>
      <c r="F20" s="6">
        <v>413.69</v>
      </c>
      <c r="G20" s="2">
        <v>2.1800000000000001E-3</v>
      </c>
      <c r="H20" s="6">
        <v>3.5350000000000001</v>
      </c>
      <c r="I20" s="6">
        <v>606.23</v>
      </c>
      <c r="J20" s="6">
        <v>129.69999999999999</v>
      </c>
      <c r="K20" s="6">
        <v>687.93</v>
      </c>
      <c r="L20" s="6">
        <v>62.65</v>
      </c>
      <c r="M20" s="6">
        <v>304.81</v>
      </c>
      <c r="N20" s="6">
        <v>7.0899999999999999E-3</v>
      </c>
      <c r="O20" s="6">
        <v>85.010999999999996</v>
      </c>
      <c r="P20" s="7">
        <v>3.021E-5</v>
      </c>
      <c r="R20" s="5">
        <v>46071</v>
      </c>
      <c r="S20" s="6">
        <v>861924.27089736389</v>
      </c>
      <c r="T20" s="6">
        <f t="shared" si="0"/>
        <v>2213.5786650782579</v>
      </c>
      <c r="U20" s="6">
        <v>862412.03958860703</v>
      </c>
      <c r="V20" s="6">
        <f t="shared" si="1"/>
        <v>2214.8313440024804</v>
      </c>
      <c r="W20" s="6">
        <f t="shared" si="2"/>
        <v>4428.4100090807387</v>
      </c>
      <c r="X20" s="6"/>
      <c r="Y20" s="6">
        <f t="shared" si="3"/>
        <v>-487.76869124313816</v>
      </c>
      <c r="Z20" s="6">
        <f t="shared" si="4"/>
        <v>-1.2526789242224794</v>
      </c>
      <c r="AA20" s="6">
        <v>13.10079683</v>
      </c>
      <c r="AB20" s="6">
        <f t="shared" si="5"/>
        <v>2191.2392777857999</v>
      </c>
      <c r="AC20" s="6">
        <v>13.36067493</v>
      </c>
      <c r="AD20" s="6">
        <f t="shared" si="6"/>
        <v>2234.7064887918</v>
      </c>
      <c r="AE20" s="6">
        <f t="shared" si="7"/>
        <v>-43.467211005999978</v>
      </c>
      <c r="AG20" s="5">
        <v>46071</v>
      </c>
      <c r="AH20" s="6">
        <v>831691.39013840316</v>
      </c>
      <c r="AI20" s="6">
        <f t="shared" si="8"/>
        <v>2135.9351155327554</v>
      </c>
      <c r="AJ20" s="6">
        <v>862412.03958860703</v>
      </c>
      <c r="AK20" s="6">
        <f t="shared" si="9"/>
        <v>2214.8313440024804</v>
      </c>
      <c r="AL20" s="6">
        <f t="shared" si="10"/>
        <v>4350.7664595352362</v>
      </c>
      <c r="AM20" s="6"/>
      <c r="AN20" s="6">
        <f t="shared" si="11"/>
        <v>-30720.649450203869</v>
      </c>
      <c r="AO20" s="6">
        <f t="shared" si="12"/>
        <v>-78.896228469724804</v>
      </c>
      <c r="AP20" s="6">
        <v>13.09956976</v>
      </c>
      <c r="AQ20" s="6">
        <f t="shared" si="13"/>
        <v>2191.0340380575999</v>
      </c>
      <c r="AR20" s="6">
        <v>12.896173989999999</v>
      </c>
      <c r="AS20" s="6">
        <f t="shared" si="14"/>
        <v>2157.0140615673999</v>
      </c>
      <c r="AT20" s="6">
        <f t="shared" si="15"/>
        <v>34.01997649020003</v>
      </c>
      <c r="AV20" s="5">
        <v>46071</v>
      </c>
      <c r="AW20" s="6">
        <v>872143.30596597306</v>
      </c>
      <c r="AX20" s="6">
        <f t="shared" si="16"/>
        <v>2239.8230101667295</v>
      </c>
      <c r="AY20" s="6">
        <v>862506.77971823199</v>
      </c>
      <c r="AZ20" s="6">
        <f t="shared" si="17"/>
        <v>2215.0746539274301</v>
      </c>
      <c r="BA20" s="6">
        <f t="shared" si="18"/>
        <v>4454.8976640941601</v>
      </c>
      <c r="BB20" s="6"/>
      <c r="BC20" s="6">
        <f t="shared" si="206"/>
        <v>9636.5262477410724</v>
      </c>
      <c r="BD20" s="6">
        <f t="shared" si="19"/>
        <v>24.748356239299298</v>
      </c>
      <c r="BE20" s="6">
        <v>28.821535520000001</v>
      </c>
      <c r="BF20" s="6">
        <f>BE20*C20</f>
        <v>2196.7774373344</v>
      </c>
      <c r="BG20" s="6">
        <v>29.725952100000001</v>
      </c>
      <c r="BH20" s="6">
        <f>BG20*C20</f>
        <v>2265.712069062</v>
      </c>
      <c r="BI20" s="6">
        <f t="shared" si="22"/>
        <v>-68.934631727599964</v>
      </c>
      <c r="BK20" s="5">
        <v>46071</v>
      </c>
      <c r="BL20" s="6">
        <v>833183.05463775015</v>
      </c>
      <c r="BM20" s="6">
        <f t="shared" si="23"/>
        <v>2139.7659819124333</v>
      </c>
      <c r="BN20" s="6">
        <v>862506.77971823199</v>
      </c>
      <c r="BO20" s="6">
        <f t="shared" si="24"/>
        <v>2215.0746539274301</v>
      </c>
      <c r="BP20" s="6">
        <f t="shared" si="25"/>
        <v>4354.8406358398634</v>
      </c>
      <c r="BQ20" s="6"/>
      <c r="BR20" s="6">
        <f t="shared" si="26"/>
        <v>-29323.725080481847</v>
      </c>
      <c r="BS20" s="6">
        <f t="shared" si="27"/>
        <v>-75.308672014996802</v>
      </c>
      <c r="BT20" s="6">
        <v>28.818188920000001</v>
      </c>
      <c r="BU20" s="6">
        <f t="shared" si="28"/>
        <v>2196.5223594824001</v>
      </c>
      <c r="BV20" s="6">
        <v>28.411591649999998</v>
      </c>
      <c r="BW20" s="6">
        <f t="shared" si="29"/>
        <v>2165.5315155629996</v>
      </c>
      <c r="BX20" s="6">
        <f t="shared" si="30"/>
        <v>30.990843919400188</v>
      </c>
      <c r="BZ20" s="5">
        <v>46071</v>
      </c>
      <c r="CA20" s="6">
        <v>849678.310335594</v>
      </c>
      <c r="CB20" s="6">
        <f t="shared" si="31"/>
        <v>2182.1288057945626</v>
      </c>
      <c r="CC20" s="6">
        <v>871715.16026203195</v>
      </c>
      <c r="CD20" s="6">
        <f t="shared" si="32"/>
        <v>2238.7234539437654</v>
      </c>
      <c r="CE20" s="6">
        <f t="shared" si="33"/>
        <v>4420.852259738328</v>
      </c>
      <c r="CF20" s="6"/>
      <c r="CG20" s="6">
        <f t="shared" si="34"/>
        <v>-22036.84992643795</v>
      </c>
      <c r="CH20" s="6">
        <f t="shared" si="35"/>
        <v>-56.59464814920274</v>
      </c>
      <c r="CI20" s="6">
        <v>11.80154744</v>
      </c>
      <c r="CJ20" s="6">
        <f t="shared" si="36"/>
        <v>2231.6726209039998</v>
      </c>
      <c r="CK20" s="6">
        <v>11.736838560000001</v>
      </c>
      <c r="CL20" s="6">
        <f t="shared" si="37"/>
        <v>2219.4361716960002</v>
      </c>
      <c r="CM20" s="6">
        <f t="shared" si="38"/>
        <v>12.236449207999909</v>
      </c>
      <c r="CO20" s="5">
        <v>46071</v>
      </c>
      <c r="CP20" s="6">
        <v>849625.3922821671</v>
      </c>
      <c r="CQ20" s="6">
        <f t="shared" si="39"/>
        <v>2181.9929025858719</v>
      </c>
      <c r="CR20" s="6">
        <v>853103.63620869792</v>
      </c>
      <c r="CS20" s="6">
        <f t="shared" si="40"/>
        <v>2190.9256671078533</v>
      </c>
      <c r="CT20" s="6">
        <f t="shared" si="41"/>
        <v>4372.9185696937257</v>
      </c>
      <c r="CU20" s="6"/>
      <c r="CV20" s="6">
        <f t="shared" si="42"/>
        <v>-3478.2439265308203</v>
      </c>
      <c r="CW20" s="6">
        <f t="shared" si="43"/>
        <v>-8.932764521981392</v>
      </c>
      <c r="CX20" s="6">
        <v>11.548951300000001</v>
      </c>
      <c r="CY20" s="6">
        <f t="shared" si="44"/>
        <v>2183.9066908300001</v>
      </c>
      <c r="CZ20" s="6">
        <v>11.736838560000001</v>
      </c>
      <c r="DA20" s="6">
        <f t="shared" si="45"/>
        <v>2219.4361716960002</v>
      </c>
      <c r="DB20" s="6">
        <f t="shared" si="46"/>
        <v>-35.529480866000021</v>
      </c>
      <c r="DD20" s="5">
        <v>46071</v>
      </c>
      <c r="DE20" s="6">
        <v>859653.14799279498</v>
      </c>
      <c r="DF20" s="6">
        <f t="shared" si="47"/>
        <v>2207.7460074109081</v>
      </c>
      <c r="DG20" s="6">
        <v>862594.991567433</v>
      </c>
      <c r="DH20" s="6">
        <f t="shared" si="48"/>
        <v>2215.3011980380807</v>
      </c>
      <c r="DI20" s="6">
        <f t="shared" si="49"/>
        <v>4423.0472054489892</v>
      </c>
      <c r="DJ20" s="6"/>
      <c r="DK20" s="6">
        <f t="shared" si="50"/>
        <v>-2941.8435746380128</v>
      </c>
      <c r="DL20" s="6">
        <f t="shared" si="51"/>
        <v>-7.5551906271725082</v>
      </c>
      <c r="DM20" s="6">
        <v>4.8333735300000003</v>
      </c>
      <c r="DN20" s="6">
        <f t="shared" si="52"/>
        <v>2184.9748379718003</v>
      </c>
      <c r="DO20" s="6">
        <v>4.9157158499999998</v>
      </c>
      <c r="DP20" s="6">
        <f t="shared" si="53"/>
        <v>2222.1985071509998</v>
      </c>
      <c r="DQ20" s="6">
        <f t="shared" si="54"/>
        <v>-37.223669179199788</v>
      </c>
      <c r="DS20" s="5">
        <v>46071</v>
      </c>
      <c r="DT20" s="6">
        <v>877876.91627692292</v>
      </c>
      <c r="DU20" s="6">
        <f t="shared" si="55"/>
        <v>2254.5479667397444</v>
      </c>
      <c r="DV20" s="6">
        <v>862594.991567433</v>
      </c>
      <c r="DW20" s="6">
        <f t="shared" si="56"/>
        <v>2215.3011980380807</v>
      </c>
      <c r="DX20" s="6">
        <f t="shared" si="57"/>
        <v>4469.8491647778246</v>
      </c>
      <c r="DY20" s="6"/>
      <c r="DZ20" s="6">
        <f t="shared" si="58"/>
        <v>15281.924709489918</v>
      </c>
      <c r="EA20" s="6">
        <f t="shared" si="59"/>
        <v>39.246768701663896</v>
      </c>
      <c r="EB20" s="6">
        <v>4.8331959499999986</v>
      </c>
      <c r="EC20" s="6">
        <f t="shared" si="60"/>
        <v>2184.8945611569993</v>
      </c>
      <c r="ED20" s="6">
        <v>5.0175680399999996</v>
      </c>
      <c r="EE20" s="6">
        <f t="shared" si="61"/>
        <v>2268.2418081623996</v>
      </c>
      <c r="EF20" s="6">
        <f t="shared" si="62"/>
        <v>-83.347247005400448</v>
      </c>
      <c r="EH20" s="5">
        <v>46071</v>
      </c>
      <c r="EI20" s="6">
        <v>2391369.8652232508</v>
      </c>
      <c r="EJ20" s="6">
        <f t="shared" si="63"/>
        <v>6141.4737845334366</v>
      </c>
      <c r="EK20" s="6">
        <v>2394200.9136115331</v>
      </c>
      <c r="EL20" s="6">
        <f t="shared" si="64"/>
        <v>6148.7444329229775</v>
      </c>
      <c r="EM20" s="6">
        <f t="shared" si="65"/>
        <v>12290.218217456415</v>
      </c>
      <c r="EN20" s="6"/>
      <c r="EO20" s="6">
        <f t="shared" si="66"/>
        <v>-2831.0483882823028</v>
      </c>
      <c r="EP20" s="6">
        <f t="shared" si="67"/>
        <v>-7.2706483895406215</v>
      </c>
      <c r="EQ20" s="6">
        <v>14.832261020000001</v>
      </c>
      <c r="ER20" s="6">
        <f t="shared" si="68"/>
        <v>6135.9580613638</v>
      </c>
      <c r="ES20" s="6">
        <v>14.87851315</v>
      </c>
      <c r="ET20" s="6">
        <f t="shared" si="69"/>
        <v>6155.0921050235002</v>
      </c>
      <c r="EU20" s="6">
        <f t="shared" si="70"/>
        <v>-19.134043659699657</v>
      </c>
      <c r="EW20" s="5">
        <v>46071</v>
      </c>
      <c r="EX20" s="6">
        <v>2390387.1386104459</v>
      </c>
      <c r="EY20" s="6">
        <f t="shared" si="71"/>
        <v>6138.949963430865</v>
      </c>
      <c r="EZ20" s="6">
        <v>2401638.6527255299</v>
      </c>
      <c r="FA20" s="6">
        <f t="shared" si="72"/>
        <v>6167.8459029419382</v>
      </c>
      <c r="FB20" s="6">
        <f t="shared" si="73"/>
        <v>12306.795866372802</v>
      </c>
      <c r="FC20" s="6"/>
      <c r="FD20" s="6">
        <f t="shared" si="74"/>
        <v>-11251.514115083963</v>
      </c>
      <c r="FE20" s="6">
        <f t="shared" si="75"/>
        <v>-28.895939511073937</v>
      </c>
      <c r="FF20" s="6">
        <v>14.8474073</v>
      </c>
      <c r="FG20" s="6">
        <f t="shared" si="76"/>
        <v>6142.2239259369999</v>
      </c>
      <c r="FH20" s="6">
        <v>14.87851315</v>
      </c>
      <c r="FI20" s="6">
        <f t="shared" si="77"/>
        <v>6155.0921050235002</v>
      </c>
      <c r="FJ20" s="6">
        <f>(FF20-FH20)*F20</f>
        <v>-12.868179086499767</v>
      </c>
      <c r="FL20" s="5">
        <v>46071</v>
      </c>
      <c r="FM20" s="6">
        <v>665749.01912576193</v>
      </c>
      <c r="FN20" s="6">
        <f t="shared" si="79"/>
        <v>1709.7648538186334</v>
      </c>
      <c r="FO20" s="6">
        <v>697831.90094080195</v>
      </c>
      <c r="FP20" s="6">
        <f t="shared" si="80"/>
        <v>1792.1595433498399</v>
      </c>
      <c r="FQ20" s="6">
        <f t="shared" si="81"/>
        <v>3501.9243971684732</v>
      </c>
      <c r="FR20" s="6"/>
      <c r="FS20" s="6">
        <f t="shared" si="82"/>
        <v>-32082.881815040018</v>
      </c>
      <c r="FT20" s="6">
        <f t="shared" si="83"/>
        <v>-82.394689531206467</v>
      </c>
      <c r="FU20" s="6">
        <v>814582.44746399997</v>
      </c>
      <c r="FV20" s="6">
        <f t="shared" si="84"/>
        <v>1775.7897354715201</v>
      </c>
      <c r="FW20" s="6">
        <v>809811.00517100003</v>
      </c>
      <c r="FX20" s="6">
        <f t="shared" si="85"/>
        <v>1765.38799127278</v>
      </c>
      <c r="FY20" s="6">
        <f t="shared" si="86"/>
        <v>10.401744198739873</v>
      </c>
      <c r="GA20" s="5">
        <v>46071</v>
      </c>
      <c r="GB20" s="6">
        <v>665710.96932460601</v>
      </c>
      <c r="GC20" s="6">
        <f t="shared" si="87"/>
        <v>1709.6671349924056</v>
      </c>
      <c r="GD20" s="6">
        <v>682791.28096264694</v>
      </c>
      <c r="GE20" s="6">
        <f t="shared" si="88"/>
        <v>1753.5324891905095</v>
      </c>
      <c r="GF20" s="6">
        <f t="shared" si="89"/>
        <v>3463.1996241829152</v>
      </c>
      <c r="GG20" s="6"/>
      <c r="GH20" s="6">
        <f t="shared" si="90"/>
        <v>-17080.311638040934</v>
      </c>
      <c r="GI20" s="6">
        <f t="shared" si="91"/>
        <v>-43.865354198103844</v>
      </c>
      <c r="GJ20" s="6">
        <v>798055.4062679999</v>
      </c>
      <c r="GK20" s="6">
        <f t="shared" si="92"/>
        <v>1739.7607856642398</v>
      </c>
      <c r="GL20" s="6">
        <v>809811.00517100003</v>
      </c>
      <c r="GM20" s="6">
        <f t="shared" si="93"/>
        <v>1765.38799127278</v>
      </c>
      <c r="GN20" s="6">
        <f t="shared" si="94"/>
        <v>-25.627205608540265</v>
      </c>
      <c r="GP20" s="5">
        <v>46071</v>
      </c>
      <c r="GQ20" s="6">
        <v>656644.4260144881</v>
      </c>
      <c r="GR20" s="6">
        <f t="shared" si="95"/>
        <v>1686.3825988505123</v>
      </c>
      <c r="GS20" s="6">
        <v>670229.5604904861</v>
      </c>
      <c r="GT20" s="6">
        <f t="shared" si="96"/>
        <v>1721.2717008907414</v>
      </c>
      <c r="GU20" s="6">
        <f>GR20+GT20</f>
        <v>3407.6542997412535</v>
      </c>
      <c r="GV20" s="6"/>
      <c r="GW20" s="6">
        <f t="shared" si="98"/>
        <v>-13585.134475997998</v>
      </c>
      <c r="GX20" s="6">
        <f t="shared" si="99"/>
        <v>-34.889102040229176</v>
      </c>
      <c r="GY20" s="6">
        <v>482.60260099999999</v>
      </c>
      <c r="GZ20" s="6">
        <f t="shared" si="100"/>
        <v>1706.000194535</v>
      </c>
      <c r="HA20" s="6">
        <v>492.18848700000001</v>
      </c>
      <c r="HB20" s="6">
        <f t="shared" si="101"/>
        <v>1739.8863015450002</v>
      </c>
      <c r="HC20" s="6">
        <f t="shared" si="207"/>
        <v>-33.88610701000006</v>
      </c>
      <c r="HE20" s="5">
        <v>46071</v>
      </c>
      <c r="HF20" s="6">
        <v>656605.22429406294</v>
      </c>
      <c r="HG20" s="6">
        <f t="shared" si="102"/>
        <v>1686.2819216855946</v>
      </c>
      <c r="HH20" s="6">
        <v>653787.50168548001</v>
      </c>
      <c r="HI20" s="6">
        <f t="shared" si="103"/>
        <v>1679.045496327745</v>
      </c>
      <c r="HJ20" s="6">
        <f t="shared" si="104"/>
        <v>3365.3274180133394</v>
      </c>
      <c r="HK20" s="6"/>
      <c r="HL20" s="6">
        <f t="shared" si="105"/>
        <v>2817.7226085829316</v>
      </c>
      <c r="HM20" s="6">
        <f t="shared" si="106"/>
        <v>7.2364253578497388</v>
      </c>
      <c r="HN20" s="6">
        <v>470.50407599999988</v>
      </c>
      <c r="HO20" s="6">
        <f t="shared" si="107"/>
        <v>1663.2319086599996</v>
      </c>
      <c r="HP20" s="6">
        <v>492.18848700000001</v>
      </c>
      <c r="HQ20" s="6">
        <f t="shared" si="108"/>
        <v>1739.8863015450002</v>
      </c>
      <c r="HR20" s="6">
        <f t="shared" si="109"/>
        <v>-76.654392885000448</v>
      </c>
      <c r="HT20" s="5">
        <v>46071</v>
      </c>
      <c r="HU20" s="6">
        <v>648246.2404196948</v>
      </c>
      <c r="HV20" s="6">
        <f t="shared" si="110"/>
        <v>1664.814527169867</v>
      </c>
      <c r="HW20" s="6">
        <v>662417.08862574911</v>
      </c>
      <c r="HX20" s="6">
        <f t="shared" si="111"/>
        <v>1701.207848850351</v>
      </c>
      <c r="HY20" s="6">
        <f t="shared" si="112"/>
        <v>3366.022376020218</v>
      </c>
      <c r="HZ20" s="6"/>
      <c r="IA20" s="6">
        <f t="shared" si="113"/>
        <v>-14170.848206054303</v>
      </c>
      <c r="IB20" s="6">
        <f t="shared" si="114"/>
        <v>-36.393321680483893</v>
      </c>
      <c r="IC20" s="6">
        <v>2.7684780400000002</v>
      </c>
      <c r="ID20" s="6">
        <f t="shared" si="115"/>
        <v>1678.3344421892002</v>
      </c>
      <c r="IE20" s="6">
        <v>2.8203241100000001</v>
      </c>
      <c r="IF20" s="6">
        <f t="shared" si="116"/>
        <v>1709.7650852053</v>
      </c>
      <c r="IG20" s="6">
        <f t="shared" si="117"/>
        <v>-31.430643016099914</v>
      </c>
      <c r="II20" s="5">
        <v>46071</v>
      </c>
      <c r="IJ20" s="6">
        <v>671246.40951163683</v>
      </c>
      <c r="IK20" s="6">
        <f t="shared" si="118"/>
        <v>1723.8831545588014</v>
      </c>
      <c r="IL20" s="6">
        <v>662417.08862574911</v>
      </c>
      <c r="IM20" s="6">
        <f t="shared" si="119"/>
        <v>1701.207848850351</v>
      </c>
      <c r="IN20" s="6">
        <f t="shared" si="120"/>
        <v>3425.0910034091521</v>
      </c>
      <c r="IO20" s="6"/>
      <c r="IP20" s="6">
        <f t="shared" si="121"/>
        <v>8829.3208858877188</v>
      </c>
      <c r="IQ20" s="6">
        <f t="shared" si="122"/>
        <v>22.67530570845037</v>
      </c>
      <c r="IR20" s="6">
        <v>2.7683366500000002</v>
      </c>
      <c r="IS20" s="6">
        <f t="shared" si="123"/>
        <v>1678.2487273295001</v>
      </c>
      <c r="IT20" s="6">
        <v>2.9212906199999988</v>
      </c>
      <c r="IU20" s="6">
        <f t="shared" si="124"/>
        <v>1770.9740125625995</v>
      </c>
      <c r="IV20" s="6">
        <f t="shared" si="125"/>
        <v>-92.725285233099186</v>
      </c>
      <c r="IX20" s="5">
        <v>46071</v>
      </c>
      <c r="IY20" s="6">
        <v>844621.24819415901</v>
      </c>
      <c r="IZ20" s="6">
        <f>IY20*P20*O20</f>
        <v>2169.1413482623584</v>
      </c>
      <c r="JA20" s="6">
        <v>862365.293729892</v>
      </c>
      <c r="JB20" s="6">
        <f t="shared" si="127"/>
        <v>2214.7112921150624</v>
      </c>
      <c r="JC20" s="6">
        <f t="shared" si="128"/>
        <v>4383.8526403774213</v>
      </c>
      <c r="JD20" s="6"/>
      <c r="JE20" s="6">
        <f t="shared" si="129"/>
        <v>-17744.045535732992</v>
      </c>
      <c r="JF20" s="6">
        <f t="shared" si="130"/>
        <v>-45.569943852703936</v>
      </c>
      <c r="JG20" s="6">
        <v>16.969908910000001</v>
      </c>
      <c r="JH20" s="6">
        <f>JG20*J20</f>
        <v>2200.9971856269999</v>
      </c>
      <c r="JI20" s="6">
        <v>16.955180840000001</v>
      </c>
      <c r="JJ20" s="6">
        <f t="shared" si="132"/>
        <v>2199.0869549479999</v>
      </c>
      <c r="JK20" s="6">
        <f>(JG20-JI20)*J20</f>
        <v>1.9102306790000407</v>
      </c>
      <c r="JM20" s="5">
        <v>46071</v>
      </c>
      <c r="JN20" s="6">
        <v>841523.13621740299</v>
      </c>
      <c r="JO20" s="6">
        <f t="shared" si="134"/>
        <v>2161.1848318892544</v>
      </c>
      <c r="JP20" s="6">
        <v>858806.80415395694</v>
      </c>
      <c r="JQ20" s="6">
        <f t="shared" si="135"/>
        <v>2205.5724421358268</v>
      </c>
      <c r="JR20" s="6">
        <f t="shared" si="136"/>
        <v>4366.7572740250816</v>
      </c>
      <c r="JS20" s="6"/>
      <c r="JT20" s="6">
        <f t="shared" si="137"/>
        <v>-17283.667936553946</v>
      </c>
      <c r="JU20" s="6">
        <f t="shared" si="138"/>
        <v>-44.387610246572052</v>
      </c>
      <c r="JV20" s="6">
        <v>16.897946569999998</v>
      </c>
      <c r="JW20" s="6">
        <f t="shared" si="139"/>
        <v>2191.6636701289995</v>
      </c>
      <c r="JX20" s="6">
        <v>16.89871557</v>
      </c>
      <c r="JY20" s="6">
        <f t="shared" si="140"/>
        <v>2191.7634094289997</v>
      </c>
      <c r="JZ20" s="6">
        <f t="shared" si="141"/>
        <v>-9.9739300000232942E-2</v>
      </c>
      <c r="KB20" s="5">
        <v>46071</v>
      </c>
      <c r="KC20" s="6">
        <v>859696.36623928999</v>
      </c>
      <c r="KD20" s="6">
        <f t="shared" si="142"/>
        <v>2207.8569997470258</v>
      </c>
      <c r="KE20" s="6">
        <v>862377.35021915904</v>
      </c>
      <c r="KF20" s="6">
        <f t="shared" si="143"/>
        <v>2214.7422553775186</v>
      </c>
      <c r="KG20" s="6">
        <f t="shared" si="144"/>
        <v>4422.5992551245445</v>
      </c>
      <c r="KH20" s="6"/>
      <c r="KI20" s="6">
        <f t="shared" si="145"/>
        <v>-2680.9839798690518</v>
      </c>
      <c r="KJ20" s="6">
        <f t="shared" si="146"/>
        <v>-6.8852556304930941</v>
      </c>
      <c r="KK20" s="6">
        <v>3.206912414</v>
      </c>
      <c r="KL20" s="6">
        <f t="shared" si="147"/>
        <v>2206.13125696302</v>
      </c>
      <c r="KM20" s="6">
        <v>3.2604451399999999</v>
      </c>
      <c r="KN20" s="6">
        <f t="shared" si="148"/>
        <v>2242.9580251601997</v>
      </c>
      <c r="KO20" s="6">
        <f t="shared" si="149"/>
        <v>-36.826768197179867</v>
      </c>
      <c r="KQ20" s="5">
        <v>46071</v>
      </c>
      <c r="KR20" s="6">
        <v>850137.76824597898</v>
      </c>
      <c r="KS20" s="6">
        <f t="shared" si="150"/>
        <v>2183.308777472203</v>
      </c>
      <c r="KT20" s="6">
        <v>862377.35021915904</v>
      </c>
      <c r="KU20" s="6">
        <f t="shared" si="151"/>
        <v>2214.7422553775186</v>
      </c>
      <c r="KV20" s="6">
        <f t="shared" si="152"/>
        <v>4398.0510328497221</v>
      </c>
      <c r="KW20" s="6"/>
      <c r="KX20" s="6">
        <f t="shared" si="153"/>
        <v>-12239.581973180058</v>
      </c>
      <c r="KY20" s="6">
        <f>KX20*P20*O20</f>
        <v>-31.433477905315918</v>
      </c>
      <c r="KZ20" s="6">
        <v>3.2067264089999998</v>
      </c>
      <c r="LA20" s="6">
        <f t="shared" si="155"/>
        <v>2206.0032985433695</v>
      </c>
      <c r="LB20" s="6">
        <v>3.2263638239999999</v>
      </c>
      <c r="LC20" s="6">
        <f t="shared" si="156"/>
        <v>2219.5124654443198</v>
      </c>
      <c r="LD20" s="6">
        <f t="shared" si="157"/>
        <v>-13.509166900950031</v>
      </c>
      <c r="LF20" s="5">
        <v>46071</v>
      </c>
      <c r="LG20" s="6">
        <v>849507.25926062395</v>
      </c>
      <c r="LH20" s="6">
        <f t="shared" si="158"/>
        <v>2181.6895154497179</v>
      </c>
      <c r="LI20" s="6">
        <v>847895.06585738901</v>
      </c>
      <c r="LJ20" s="6">
        <f t="shared" si="159"/>
        <v>2177.5491088712315</v>
      </c>
      <c r="LK20" s="6">
        <f t="shared" si="160"/>
        <v>4359.2386243209494</v>
      </c>
      <c r="LL20" s="6"/>
      <c r="LM20" s="6">
        <f t="shared" si="161"/>
        <v>1612.1934032349382</v>
      </c>
      <c r="LN20" s="6">
        <f t="shared" si="162"/>
        <v>4.1404065784866653</v>
      </c>
      <c r="LO20" s="6">
        <v>34.399266079999997</v>
      </c>
      <c r="LP20" s="6">
        <f t="shared" si="163"/>
        <v>2155.1140199119995</v>
      </c>
      <c r="LQ20" s="6">
        <v>35.15597631</v>
      </c>
      <c r="LR20" s="6">
        <f t="shared" si="164"/>
        <v>2202.5219158215</v>
      </c>
      <c r="LS20" s="6">
        <f t="shared" si="165"/>
        <v>-47.407895909500191</v>
      </c>
      <c r="LU20" s="5">
        <v>46071</v>
      </c>
      <c r="LV20" s="6">
        <v>849373.00791552616</v>
      </c>
      <c r="LW20" s="6">
        <f t="shared" si="166"/>
        <v>2181.344733520144</v>
      </c>
      <c r="LX20" s="6">
        <v>843276.72337103705</v>
      </c>
      <c r="LY20" s="6">
        <f t="shared" si="167"/>
        <v>2165.6883633962607</v>
      </c>
      <c r="LZ20" s="6">
        <f t="shared" si="168"/>
        <v>4347.0330969164042</v>
      </c>
      <c r="MA20" s="6"/>
      <c r="MB20" s="6">
        <f t="shared" si="169"/>
        <v>6096.2845444891136</v>
      </c>
      <c r="MC20" s="6">
        <f t="shared" si="170"/>
        <v>15.656370123883349</v>
      </c>
      <c r="MD20" s="6">
        <v>34.189378219999988</v>
      </c>
      <c r="ME20" s="6">
        <f>MD20*L20</f>
        <v>2141.9645454829993</v>
      </c>
      <c r="MF20" s="6">
        <v>35.15597631</v>
      </c>
      <c r="MG20" s="6">
        <f t="shared" si="172"/>
        <v>2202.5219158215</v>
      </c>
      <c r="MH20" s="6">
        <f t="shared" si="173"/>
        <v>-60.55737033850076</v>
      </c>
      <c r="MJ20" s="5">
        <v>46071</v>
      </c>
      <c r="MK20" s="6">
        <v>859515.7339991621</v>
      </c>
      <c r="ML20" s="6">
        <f t="shared" si="174"/>
        <v>2207.3931032233136</v>
      </c>
      <c r="MM20" s="6">
        <v>862393.07119413908</v>
      </c>
      <c r="MN20" s="6">
        <f t="shared" si="175"/>
        <v>2214.7826297073584</v>
      </c>
      <c r="MO20" s="6">
        <f t="shared" si="176"/>
        <v>4422.175732930672</v>
      </c>
      <c r="MP20" s="6"/>
      <c r="MQ20" s="6">
        <f t="shared" si="177"/>
        <v>-2877.3371949769789</v>
      </c>
      <c r="MR20" s="6">
        <f t="shared" si="178"/>
        <v>-7.3895264840448984</v>
      </c>
      <c r="MS20" s="6">
        <v>7.2114607599999996</v>
      </c>
      <c r="MT20" s="6">
        <f t="shared" si="179"/>
        <v>2198.1253542556001</v>
      </c>
      <c r="MU20" s="6">
        <v>7.3318720199999996</v>
      </c>
      <c r="MV20" s="6">
        <f t="shared" si="180"/>
        <v>2234.8279104161998</v>
      </c>
      <c r="MW20" s="6">
        <f t="shared" si="181"/>
        <v>-36.702556160600004</v>
      </c>
      <c r="MY20" s="5">
        <v>46071</v>
      </c>
      <c r="MZ20" s="6">
        <v>856404.59342366783</v>
      </c>
      <c r="NA20" s="6">
        <f t="shared" si="182"/>
        <v>2199.4031270334058</v>
      </c>
      <c r="NB20" s="6">
        <v>862393.07119413908</v>
      </c>
      <c r="NC20" s="6">
        <f t="shared" si="183"/>
        <v>2214.7826297073584</v>
      </c>
      <c r="ND20" s="6">
        <f t="shared" si="184"/>
        <v>4414.1857567407642</v>
      </c>
      <c r="NE20" s="6"/>
      <c r="NF20" s="6">
        <f t="shared" si="185"/>
        <v>-5988.4777704712469</v>
      </c>
      <c r="NG20" s="6">
        <f t="shared" si="186"/>
        <v>-15.379502673952496</v>
      </c>
      <c r="NH20" s="6">
        <v>7.2105933999999996</v>
      </c>
      <c r="NI20" s="6">
        <f t="shared" si="187"/>
        <v>2197.8609742539998</v>
      </c>
      <c r="NJ20" s="6">
        <v>7.3085419800000002</v>
      </c>
      <c r="NK20" s="6">
        <f t="shared" si="188"/>
        <v>2227.7166809238001</v>
      </c>
      <c r="NL20" s="6">
        <f t="shared" si="189"/>
        <v>-29.855706669800188</v>
      </c>
      <c r="NN20" s="5">
        <v>46071</v>
      </c>
      <c r="NO20" s="6">
        <v>848346.8276680921</v>
      </c>
      <c r="NP20" s="6">
        <f t="shared" si="190"/>
        <v>2178.7093155618127</v>
      </c>
      <c r="NQ20" s="6">
        <v>861576.64290032606</v>
      </c>
      <c r="NR20" s="6">
        <f t="shared" si="191"/>
        <v>2212.6858930058042</v>
      </c>
      <c r="NS20" s="6">
        <f t="shared" si="192"/>
        <v>4391.3952085676174</v>
      </c>
      <c r="NT20" s="6"/>
      <c r="NU20" s="6">
        <f t="shared" si="193"/>
        <v>-13229.815232233959</v>
      </c>
      <c r="NV20" s="6">
        <f t="shared" si="194"/>
        <v>-33.976577443991793</v>
      </c>
      <c r="NW20" s="6">
        <v>304726.72462400002</v>
      </c>
      <c r="NX20" s="6">
        <f t="shared" si="195"/>
        <v>2160.51247758416</v>
      </c>
      <c r="NY20" s="6">
        <v>312355.68498899997</v>
      </c>
      <c r="NZ20" s="6">
        <f t="shared" si="196"/>
        <v>2214.60180657201</v>
      </c>
      <c r="OA20" s="6">
        <f t="shared" si="197"/>
        <v>-54.089328987849633</v>
      </c>
      <c r="OC20" s="5">
        <v>46071</v>
      </c>
      <c r="OD20" s="6">
        <v>848308.03128403309</v>
      </c>
      <c r="OE20" s="6">
        <f t="shared" si="198"/>
        <v>2178.6096793745801</v>
      </c>
      <c r="OF20" s="6">
        <v>879793.72075225704</v>
      </c>
      <c r="OG20" s="6">
        <f t="shared" si="199"/>
        <v>2259.4706700850265</v>
      </c>
      <c r="OH20" s="6">
        <f t="shared" si="200"/>
        <v>4438.0803494596066</v>
      </c>
      <c r="OI20" s="6"/>
      <c r="OJ20" s="6">
        <f t="shared" si="201"/>
        <v>-31485.689468223951</v>
      </c>
      <c r="OK20" s="6">
        <f t="shared" si="202"/>
        <v>-80.86099071044606</v>
      </c>
      <c r="OL20" s="6">
        <v>311115.82976899989</v>
      </c>
      <c r="OM20" s="6">
        <f t="shared" si="203"/>
        <v>2205.8112330622093</v>
      </c>
      <c r="ON20" s="6">
        <v>312355.68498899997</v>
      </c>
      <c r="OO20" s="6">
        <f t="shared" si="204"/>
        <v>2214.60180657201</v>
      </c>
      <c r="OP20" s="6">
        <f t="shared" si="205"/>
        <v>-8.7905735098006019</v>
      </c>
    </row>
    <row r="21" spans="1:406" x14ac:dyDescent="0.2">
      <c r="A21" s="5">
        <v>46072</v>
      </c>
      <c r="B21" s="10">
        <v>164.23</v>
      </c>
      <c r="C21" s="6">
        <v>75.349999999999994</v>
      </c>
      <c r="D21" s="6">
        <v>187.26</v>
      </c>
      <c r="E21" s="6">
        <v>457.99</v>
      </c>
      <c r="F21" s="6">
        <v>409.25</v>
      </c>
      <c r="G21" s="2">
        <v>2.0300000000000001E-3</v>
      </c>
      <c r="H21" s="6">
        <v>3.4089999999999998</v>
      </c>
      <c r="I21" s="6">
        <v>606.16999999999996</v>
      </c>
      <c r="J21" s="6">
        <v>125.36</v>
      </c>
      <c r="K21" s="6">
        <v>686.4</v>
      </c>
      <c r="L21" s="6">
        <v>63.35</v>
      </c>
      <c r="M21" s="6">
        <v>302.41000000000003</v>
      </c>
      <c r="N21" s="6">
        <v>6.7000000000000002E-3</v>
      </c>
      <c r="O21" s="6">
        <v>81.634</v>
      </c>
      <c r="P21" s="7">
        <v>3.1000000000000001E-5</v>
      </c>
      <c r="R21" s="5">
        <v>46072</v>
      </c>
      <c r="S21" s="6">
        <v>897697.57369082398</v>
      </c>
      <c r="T21" s="6">
        <f t="shared" si="0"/>
        <v>2271.7619556509785</v>
      </c>
      <c r="U21" s="6">
        <v>883268.64814278902</v>
      </c>
      <c r="V21" s="6">
        <f t="shared" si="1"/>
        <v>2235.2473374971419</v>
      </c>
      <c r="W21" s="6">
        <f t="shared" si="2"/>
        <v>4507.0092931481204</v>
      </c>
      <c r="X21" s="6"/>
      <c r="Y21" s="6">
        <f t="shared" si="3"/>
        <v>14428.925548034953</v>
      </c>
      <c r="Z21" s="6">
        <f t="shared" si="4"/>
        <v>36.51461815383685</v>
      </c>
      <c r="AA21" s="6">
        <v>13.342535460000001</v>
      </c>
      <c r="AB21" s="6">
        <f t="shared" si="5"/>
        <v>2191.2445985957997</v>
      </c>
      <c r="AC21" s="6">
        <v>13.8353743</v>
      </c>
      <c r="AD21" s="6">
        <f t="shared" si="6"/>
        <v>2272.1835212889996</v>
      </c>
      <c r="AE21" s="6">
        <f t="shared" si="7"/>
        <v>-80.938922693199871</v>
      </c>
      <c r="AG21" s="5">
        <v>46072</v>
      </c>
      <c r="AH21" s="6">
        <v>895153.98485945514</v>
      </c>
      <c r="AI21" s="6">
        <f t="shared" si="8"/>
        <v>2265.3250124005199</v>
      </c>
      <c r="AJ21" s="6">
        <v>883268.64814278902</v>
      </c>
      <c r="AK21" s="6">
        <f t="shared" si="9"/>
        <v>2235.2473374971419</v>
      </c>
      <c r="AL21" s="6">
        <f t="shared" si="10"/>
        <v>4500.5723498976622</v>
      </c>
      <c r="AM21" s="6"/>
      <c r="AN21" s="6">
        <f t="shared" si="11"/>
        <v>11885.336716666119</v>
      </c>
      <c r="AO21" s="6">
        <f t="shared" si="12"/>
        <v>30.077674903377982</v>
      </c>
      <c r="AP21" s="6">
        <v>13.341256599999999</v>
      </c>
      <c r="AQ21" s="6">
        <f t="shared" si="13"/>
        <v>2191.0345714179998</v>
      </c>
      <c r="AR21" s="6">
        <v>13.796609220000001</v>
      </c>
      <c r="AS21" s="6">
        <f t="shared" si="14"/>
        <v>2265.8171322006001</v>
      </c>
      <c r="AT21" s="6">
        <f t="shared" si="15"/>
        <v>-74.782560782600171</v>
      </c>
      <c r="AV21" s="5">
        <v>46072</v>
      </c>
      <c r="AW21" s="6">
        <v>865063.36410009896</v>
      </c>
      <c r="AX21" s="6">
        <f t="shared" si="16"/>
        <v>2189.1760626133719</v>
      </c>
      <c r="AY21" s="6">
        <v>879530.01547866198</v>
      </c>
      <c r="AZ21" s="6">
        <f t="shared" si="17"/>
        <v>2225.7861517911379</v>
      </c>
      <c r="BA21" s="6">
        <f t="shared" si="18"/>
        <v>4414.9622144045097</v>
      </c>
      <c r="BB21" s="6"/>
      <c r="BC21" s="6">
        <f t="shared" si="206"/>
        <v>-14466.651378563023</v>
      </c>
      <c r="BD21" s="6">
        <f t="shared" si="19"/>
        <v>-36.610089177766028</v>
      </c>
      <c r="BE21" s="6">
        <v>29.15649861</v>
      </c>
      <c r="BF21" s="6">
        <f t="shared" si="20"/>
        <v>2196.9421702635</v>
      </c>
      <c r="BG21" s="6">
        <v>29.25433645</v>
      </c>
      <c r="BH21" s="6">
        <f t="shared" si="21"/>
        <v>2204.3142515074996</v>
      </c>
      <c r="BI21" s="6">
        <f t="shared" si="22"/>
        <v>-7.3720812440000296</v>
      </c>
      <c r="BK21" s="5">
        <v>46072</v>
      </c>
      <c r="BL21" s="6">
        <v>880190.91717886995</v>
      </c>
      <c r="BM21" s="6">
        <f t="shared" si="23"/>
        <v>2227.458665322376</v>
      </c>
      <c r="BN21" s="6">
        <v>879530.01547866198</v>
      </c>
      <c r="BO21" s="6">
        <f t="shared" si="24"/>
        <v>2225.7861517911379</v>
      </c>
      <c r="BP21" s="6">
        <f t="shared" si="25"/>
        <v>4453.2448171135138</v>
      </c>
      <c r="BQ21" s="6"/>
      <c r="BR21" s="6">
        <f t="shared" si="26"/>
        <v>660.90170020796359</v>
      </c>
      <c r="BS21" s="6">
        <f t="shared" si="27"/>
        <v>1.6725135312380841</v>
      </c>
      <c r="BT21" s="6">
        <v>29.152627599999999</v>
      </c>
      <c r="BU21" s="6">
        <f t="shared" si="28"/>
        <v>2196.6504896599999</v>
      </c>
      <c r="BV21" s="6">
        <v>29.77020508</v>
      </c>
      <c r="BW21" s="6">
        <f t="shared" si="29"/>
        <v>2243.184952778</v>
      </c>
      <c r="BX21" s="6">
        <f t="shared" si="30"/>
        <v>-46.534463118000097</v>
      </c>
      <c r="BZ21" s="5">
        <v>46072</v>
      </c>
      <c r="CA21" s="6">
        <v>868908.31746114301</v>
      </c>
      <c r="CB21" s="6">
        <f t="shared" si="31"/>
        <v>2198.9063092163115</v>
      </c>
      <c r="CC21" s="6">
        <v>856013.4641533891</v>
      </c>
      <c r="CD21" s="6">
        <f t="shared" si="32"/>
        <v>2166.2738971136309</v>
      </c>
      <c r="CE21" s="6">
        <f t="shared" si="33"/>
        <v>4365.1802063299419</v>
      </c>
      <c r="CF21" s="6"/>
      <c r="CG21" s="6">
        <f t="shared" si="34"/>
        <v>12894.853307753918</v>
      </c>
      <c r="CH21" s="6">
        <f t="shared" si="35"/>
        <v>32.632412102680689</v>
      </c>
      <c r="CI21" s="6">
        <v>11.44018174</v>
      </c>
      <c r="CJ21" s="6">
        <f t="shared" si="36"/>
        <v>2142.2884326323997</v>
      </c>
      <c r="CK21" s="6">
        <v>11.84718741</v>
      </c>
      <c r="CL21" s="6">
        <f t="shared" si="37"/>
        <v>2218.5043143966</v>
      </c>
      <c r="CM21" s="6">
        <f t="shared" si="38"/>
        <v>-76.215881764200034</v>
      </c>
      <c r="CO21" s="5">
        <v>46072</v>
      </c>
      <c r="CP21" s="6">
        <v>868846.36082345899</v>
      </c>
      <c r="CQ21" s="6">
        <f t="shared" si="39"/>
        <v>2198.7495184033301</v>
      </c>
      <c r="CR21" s="6">
        <v>894422.96153338603</v>
      </c>
      <c r="CS21" s="6">
        <f t="shared" si="40"/>
        <v>2263.4750452963094</v>
      </c>
      <c r="CT21" s="6">
        <f t="shared" si="41"/>
        <v>4462.2245636996395</v>
      </c>
      <c r="CU21" s="6"/>
      <c r="CV21" s="6">
        <f t="shared" si="42"/>
        <v>-25576.600709927035</v>
      </c>
      <c r="CW21" s="6">
        <f t="shared" si="43"/>
        <v>-64.725526892979701</v>
      </c>
      <c r="CX21" s="6">
        <v>11.951830360000001</v>
      </c>
      <c r="CY21" s="6">
        <f t="shared" si="44"/>
        <v>2238.0997532135998</v>
      </c>
      <c r="CZ21" s="6">
        <v>11.84718741</v>
      </c>
      <c r="DA21" s="6">
        <f t="shared" si="45"/>
        <v>2218.5043143966</v>
      </c>
      <c r="DB21" s="6">
        <f t="shared" si="46"/>
        <v>19.595438817000105</v>
      </c>
      <c r="DD21" s="5">
        <v>46072</v>
      </c>
      <c r="DE21" s="6">
        <v>880967.30293697212</v>
      </c>
      <c r="DF21" s="6">
        <f t="shared" si="47"/>
        <v>2229.4234290466607</v>
      </c>
      <c r="DG21" s="6">
        <v>883326.71858432202</v>
      </c>
      <c r="DH21" s="6">
        <f t="shared" si="48"/>
        <v>2235.394293692289</v>
      </c>
      <c r="DI21" s="6">
        <f t="shared" si="49"/>
        <v>4464.8177227389497</v>
      </c>
      <c r="DJ21" s="6"/>
      <c r="DK21" s="6">
        <f t="shared" si="50"/>
        <v>-2359.4156473499024</v>
      </c>
      <c r="DL21" s="6">
        <f t="shared" si="51"/>
        <v>-5.9708646456286205</v>
      </c>
      <c r="DM21" s="6">
        <v>4.831733719999999</v>
      </c>
      <c r="DN21" s="6">
        <f t="shared" si="52"/>
        <v>2212.8857264227995</v>
      </c>
      <c r="DO21" s="6">
        <v>4.9163467199999999</v>
      </c>
      <c r="DP21" s="6">
        <f t="shared" si="53"/>
        <v>2251.6376342928002</v>
      </c>
      <c r="DQ21" s="6">
        <f t="shared" si="54"/>
        <v>-38.75190787000043</v>
      </c>
      <c r="DS21" s="5">
        <v>46072</v>
      </c>
      <c r="DT21" s="6">
        <v>850777.66914068791</v>
      </c>
      <c r="DU21" s="6">
        <f t="shared" si="55"/>
        <v>2153.0239115215586</v>
      </c>
      <c r="DV21" s="6">
        <v>883326.71858432202</v>
      </c>
      <c r="DW21" s="6">
        <f t="shared" si="56"/>
        <v>2235.394293692289</v>
      </c>
      <c r="DX21" s="6">
        <f t="shared" si="57"/>
        <v>4388.4182052138476</v>
      </c>
      <c r="DY21" s="6"/>
      <c r="DZ21" s="6">
        <f t="shared" si="58"/>
        <v>-32549.049443634111</v>
      </c>
      <c r="EA21" s="6">
        <f t="shared" si="59"/>
        <v>-82.370382170730451</v>
      </c>
      <c r="EB21" s="6">
        <v>4.83156417</v>
      </c>
      <c r="EC21" s="6">
        <f t="shared" si="60"/>
        <v>2212.8080742183001</v>
      </c>
      <c r="ED21" s="6">
        <v>4.7486332600000001</v>
      </c>
      <c r="EE21" s="6">
        <f t="shared" si="61"/>
        <v>2174.8265467474002</v>
      </c>
      <c r="EF21" s="6">
        <f t="shared" si="62"/>
        <v>37.981527470899984</v>
      </c>
      <c r="EH21" s="5">
        <v>46072</v>
      </c>
      <c r="EI21" s="6">
        <v>2448326.5467944802</v>
      </c>
      <c r="EJ21" s="6">
        <f t="shared" si="63"/>
        <v>6195.867368951639</v>
      </c>
      <c r="EK21" s="6">
        <v>2473602.662903381</v>
      </c>
      <c r="EL21" s="6">
        <f t="shared" si="64"/>
        <v>6259.8324732870933</v>
      </c>
      <c r="EM21" s="6">
        <f t="shared" si="65"/>
        <v>12455.699842238733</v>
      </c>
      <c r="EN21" s="6"/>
      <c r="EO21" s="6">
        <f t="shared" si="66"/>
        <v>-25276.116108900867</v>
      </c>
      <c r="EP21" s="6">
        <f t="shared" si="67"/>
        <v>-63.96510433545442</v>
      </c>
      <c r="EQ21" s="6">
        <v>15.208447250000001</v>
      </c>
      <c r="ER21" s="6">
        <f t="shared" si="68"/>
        <v>6224.0570370625001</v>
      </c>
      <c r="ES21" s="6">
        <v>15.1168318</v>
      </c>
      <c r="ET21" s="6">
        <f t="shared" si="69"/>
        <v>6186.5634141499995</v>
      </c>
      <c r="EU21" s="6">
        <f t="shared" si="70"/>
        <v>37.493622912500335</v>
      </c>
      <c r="EW21" s="5">
        <v>46072</v>
      </c>
      <c r="EX21" s="6">
        <v>2447117.157856334</v>
      </c>
      <c r="EY21" s="6">
        <f t="shared" si="71"/>
        <v>6192.8068239977629</v>
      </c>
      <c r="EZ21" s="6">
        <v>2452359.6517057722</v>
      </c>
      <c r="FA21" s="6">
        <f t="shared" si="72"/>
        <v>6206.0737620278196</v>
      </c>
      <c r="FB21" s="6">
        <f t="shared" si="73"/>
        <v>12398.880586025582</v>
      </c>
      <c r="FC21" s="6"/>
      <c r="FD21" s="6">
        <f t="shared" si="74"/>
        <v>-5242.4938494381495</v>
      </c>
      <c r="FE21" s="6">
        <f t="shared" si="75"/>
        <v>-13.266938030056053</v>
      </c>
      <c r="FF21" s="6">
        <v>15.042453460000001</v>
      </c>
      <c r="FG21" s="6">
        <f t="shared" si="76"/>
        <v>6156.1240785050004</v>
      </c>
      <c r="FH21" s="6">
        <v>15.1168318</v>
      </c>
      <c r="FI21" s="6">
        <f t="shared" si="77"/>
        <v>6186.5634141499995</v>
      </c>
      <c r="FJ21" s="6">
        <f t="shared" si="78"/>
        <v>-30.43933564499963</v>
      </c>
      <c r="FL21" s="5">
        <v>46072</v>
      </c>
      <c r="FM21" s="6">
        <v>670492.95726180216</v>
      </c>
      <c r="FN21" s="6">
        <f t="shared" si="79"/>
        <v>1696.7856842664089</v>
      </c>
      <c r="FO21" s="6">
        <v>706100.43119337095</v>
      </c>
      <c r="FP21" s="6">
        <f t="shared" si="80"/>
        <v>1786.895880601229</v>
      </c>
      <c r="FQ21" s="6">
        <f t="shared" si="81"/>
        <v>3483.6815648676379</v>
      </c>
      <c r="FR21" s="6"/>
      <c r="FS21" s="6">
        <f t="shared" si="82"/>
        <v>-35607.473931568791</v>
      </c>
      <c r="FT21" s="6">
        <f t="shared" si="83"/>
        <v>-90.110196334820301</v>
      </c>
      <c r="FU21" s="6">
        <v>858456.78625599982</v>
      </c>
      <c r="FV21" s="6">
        <f t="shared" si="84"/>
        <v>1742.6672760996798</v>
      </c>
      <c r="FW21" s="6">
        <v>848616.43177599995</v>
      </c>
      <c r="FX21" s="6">
        <f t="shared" si="85"/>
        <v>1722.6913565052801</v>
      </c>
      <c r="FY21" s="6">
        <f t="shared" si="86"/>
        <v>19.975919594399723</v>
      </c>
      <c r="GA21" s="5">
        <v>46072</v>
      </c>
      <c r="GB21" s="6">
        <v>670454.56838372105</v>
      </c>
      <c r="GC21" s="6">
        <f t="shared" si="87"/>
        <v>1696.6885352985373</v>
      </c>
      <c r="GD21" s="6">
        <v>681755.84625238006</v>
      </c>
      <c r="GE21" s="6">
        <f t="shared" si="88"/>
        <v>1725.2881593419706</v>
      </c>
      <c r="GF21" s="6">
        <f t="shared" si="89"/>
        <v>3421.976694640508</v>
      </c>
      <c r="GG21" s="6"/>
      <c r="GH21" s="6">
        <f t="shared" si="90"/>
        <v>-11301.277868659003</v>
      </c>
      <c r="GI21" s="6">
        <f t="shared" si="91"/>
        <v>-28.599624043433383</v>
      </c>
      <c r="GJ21" s="6">
        <v>828571.70273000002</v>
      </c>
      <c r="GK21" s="6">
        <f t="shared" si="92"/>
        <v>1682.0005565419001</v>
      </c>
      <c r="GL21" s="6">
        <v>848616.43177599995</v>
      </c>
      <c r="GM21" s="6">
        <f t="shared" si="93"/>
        <v>1722.6913565052801</v>
      </c>
      <c r="GN21" s="6">
        <f t="shared" si="94"/>
        <v>-40.690799963379867</v>
      </c>
      <c r="GP21" s="5">
        <v>46072</v>
      </c>
      <c r="GQ21" s="6">
        <v>677935.582774451</v>
      </c>
      <c r="GR21" s="6">
        <f t="shared" si="95"/>
        <v>1715.6203942904956</v>
      </c>
      <c r="GS21" s="6">
        <v>720196.46126070106</v>
      </c>
      <c r="GT21" s="6">
        <f t="shared" si="96"/>
        <v>1822.5680554752382</v>
      </c>
      <c r="GU21" s="6">
        <f t="shared" si="97"/>
        <v>3538.1884497657338</v>
      </c>
      <c r="GV21" s="6"/>
      <c r="GW21" s="6">
        <f t="shared" si="98"/>
        <v>-42260.878486250062</v>
      </c>
      <c r="GX21" s="6">
        <f t="shared" si="99"/>
        <v>-106.94766118474266</v>
      </c>
      <c r="GY21" s="6">
        <v>518.99265800000001</v>
      </c>
      <c r="GZ21" s="6">
        <f t="shared" si="100"/>
        <v>1769.2459711219999</v>
      </c>
      <c r="HA21" s="6">
        <v>508.56856699999997</v>
      </c>
      <c r="HB21" s="6">
        <f t="shared" si="101"/>
        <v>1733.7102449029999</v>
      </c>
      <c r="HC21" s="6">
        <f t="shared" si="207"/>
        <v>35.535726219000111</v>
      </c>
      <c r="HE21" s="5">
        <v>46072</v>
      </c>
      <c r="HF21" s="6">
        <v>677891.92810049304</v>
      </c>
      <c r="HG21" s="6">
        <f t="shared" si="102"/>
        <v>1715.5099194152251</v>
      </c>
      <c r="HH21" s="6">
        <v>690851.89197560307</v>
      </c>
      <c r="HI21" s="6">
        <f t="shared" si="103"/>
        <v>1748.3071038356279</v>
      </c>
      <c r="HJ21" s="6">
        <f t="shared" si="104"/>
        <v>3463.8170232508528</v>
      </c>
      <c r="HK21" s="6"/>
      <c r="HL21" s="6">
        <f t="shared" si="105"/>
        <v>-12959.963875110028</v>
      </c>
      <c r="HM21" s="6">
        <f t="shared" si="106"/>
        <v>-32.797184420402694</v>
      </c>
      <c r="HN21" s="6">
        <v>497.65300300000001</v>
      </c>
      <c r="HO21" s="6">
        <f t="shared" si="107"/>
        <v>1696.499087227</v>
      </c>
      <c r="HP21" s="6">
        <v>508.56856699999997</v>
      </c>
      <c r="HQ21" s="6">
        <f t="shared" si="108"/>
        <v>1733.7102449029999</v>
      </c>
      <c r="HR21" s="6">
        <f t="shared" si="109"/>
        <v>-37.211157675999864</v>
      </c>
      <c r="HT21" s="5">
        <v>46072</v>
      </c>
      <c r="HU21" s="6">
        <v>667332.42075867509</v>
      </c>
      <c r="HV21" s="6">
        <f t="shared" si="110"/>
        <v>1688.7874599226243</v>
      </c>
      <c r="HW21" s="6">
        <v>679327.090471523</v>
      </c>
      <c r="HX21" s="6">
        <f t="shared" si="111"/>
        <v>1719.1418188101215</v>
      </c>
      <c r="HY21" s="6">
        <f t="shared" si="112"/>
        <v>3407.9292787327458</v>
      </c>
      <c r="HZ21" s="6"/>
      <c r="IA21" s="6">
        <f t="shared" si="113"/>
        <v>-11994.669712847914</v>
      </c>
      <c r="IB21" s="6">
        <f t="shared" si="114"/>
        <v>-30.354358887497426</v>
      </c>
      <c r="IC21" s="6">
        <v>2.8083937799999998</v>
      </c>
      <c r="ID21" s="6">
        <f t="shared" si="115"/>
        <v>1702.3640576225998</v>
      </c>
      <c r="IE21" s="6">
        <v>2.8720665699999999</v>
      </c>
      <c r="IF21" s="6">
        <f t="shared" si="116"/>
        <v>1740.9605927368998</v>
      </c>
      <c r="IG21" s="6">
        <f t="shared" si="117"/>
        <v>-38.596535114300018</v>
      </c>
      <c r="II21" s="5">
        <v>46072</v>
      </c>
      <c r="IJ21" s="6">
        <v>657029.61944354104</v>
      </c>
      <c r="IK21" s="6">
        <f t="shared" si="118"/>
        <v>1662.714634563275</v>
      </c>
      <c r="IL21" s="6">
        <v>679327.090471523</v>
      </c>
      <c r="IM21" s="6">
        <f t="shared" si="119"/>
        <v>1719.1418188101215</v>
      </c>
      <c r="IN21" s="6">
        <f t="shared" si="120"/>
        <v>3381.8564533733966</v>
      </c>
      <c r="IO21" s="6"/>
      <c r="IP21" s="6">
        <f t="shared" si="121"/>
        <v>-22297.471027981956</v>
      </c>
      <c r="IQ21" s="6">
        <f t="shared" si="122"/>
        <v>-56.42718424684665</v>
      </c>
      <c r="IR21" s="6">
        <v>2.8082502800000002</v>
      </c>
      <c r="IS21" s="6">
        <f t="shared" si="123"/>
        <v>1702.2770722276</v>
      </c>
      <c r="IT21" s="6">
        <v>2.8280147100000002</v>
      </c>
      <c r="IU21" s="6">
        <f t="shared" si="124"/>
        <v>1714.2576767607</v>
      </c>
      <c r="IV21" s="6">
        <f t="shared" si="125"/>
        <v>-11.980604533099966</v>
      </c>
      <c r="IX21" s="5">
        <v>46072</v>
      </c>
      <c r="IY21" s="6">
        <v>899794.40412870923</v>
      </c>
      <c r="IZ21" s="6">
        <f t="shared" si="126"/>
        <v>2277.0683079859346</v>
      </c>
      <c r="JA21" s="6">
        <v>883059.97088242602</v>
      </c>
      <c r="JB21" s="6">
        <f t="shared" si="127"/>
        <v>2234.7192475534953</v>
      </c>
      <c r="JC21" s="6">
        <f t="shared" si="128"/>
        <v>4511.7875555394294</v>
      </c>
      <c r="JD21" s="6"/>
      <c r="JE21" s="6">
        <f t="shared" si="129"/>
        <v>16734.43324628321</v>
      </c>
      <c r="JF21" s="6">
        <f t="shared" si="130"/>
        <v>42.349060432439586</v>
      </c>
      <c r="JG21" s="6">
        <v>17.504006879999999</v>
      </c>
      <c r="JH21" s="6">
        <f t="shared" si="131"/>
        <v>2194.3023024767999</v>
      </c>
      <c r="JI21" s="6">
        <v>18.19711886</v>
      </c>
      <c r="JJ21" s="6">
        <f t="shared" si="132"/>
        <v>2281.1908202895997</v>
      </c>
      <c r="JK21" s="6">
        <f t="shared" si="133"/>
        <v>-86.888517812800146</v>
      </c>
      <c r="JM21" s="5">
        <v>46072</v>
      </c>
      <c r="JN21" s="6">
        <v>877335.02453050797</v>
      </c>
      <c r="JO21" s="6">
        <f t="shared" si="134"/>
        <v>2220.2313891682284</v>
      </c>
      <c r="JP21" s="6">
        <v>883059.97088242602</v>
      </c>
      <c r="JQ21" s="6">
        <f t="shared" si="135"/>
        <v>2234.7192475534953</v>
      </c>
      <c r="JR21" s="6">
        <f t="shared" si="136"/>
        <v>4454.9506367217236</v>
      </c>
      <c r="JS21" s="6"/>
      <c r="JT21" s="6">
        <f t="shared" si="137"/>
        <v>-5724.9463519180426</v>
      </c>
      <c r="JU21" s="6">
        <f t="shared" si="138"/>
        <v>-14.487858385266803</v>
      </c>
      <c r="JV21" s="6">
        <v>17.502529549999998</v>
      </c>
      <c r="JW21" s="6">
        <f t="shared" si="139"/>
        <v>2194.1171043879999</v>
      </c>
      <c r="JX21" s="6">
        <v>17.74524203</v>
      </c>
      <c r="JY21" s="6">
        <f t="shared" si="140"/>
        <v>2224.5435408807998</v>
      </c>
      <c r="JZ21" s="6">
        <f t="shared" si="141"/>
        <v>-30.426436492800196</v>
      </c>
      <c r="KB21" s="5">
        <v>46072</v>
      </c>
      <c r="KC21" s="6">
        <v>845196.95846709691</v>
      </c>
      <c r="KD21" s="6">
        <f t="shared" si="142"/>
        <v>2138.9010637325928</v>
      </c>
      <c r="KE21" s="6">
        <v>883019.95274083188</v>
      </c>
      <c r="KF21" s="6">
        <f>KE21*P21*O21</f>
        <v>2234.6179754833975</v>
      </c>
      <c r="KG21" s="6">
        <f t="shared" si="144"/>
        <v>4373.5190392159902</v>
      </c>
      <c r="KH21" s="6"/>
      <c r="KI21" s="6">
        <f t="shared" si="145"/>
        <v>-37822.994273734977</v>
      </c>
      <c r="KJ21" s="6">
        <f t="shared" si="146"/>
        <v>-95.716911750804528</v>
      </c>
      <c r="KK21" s="6">
        <v>3.2419489420000001</v>
      </c>
      <c r="KL21" s="6">
        <f t="shared" si="147"/>
        <v>2225.2737537888001</v>
      </c>
      <c r="KM21" s="6">
        <v>3.1655712999999999</v>
      </c>
      <c r="KN21" s="6">
        <f t="shared" si="148"/>
        <v>2172.8481403199999</v>
      </c>
      <c r="KO21" s="6">
        <f t="shared" si="149"/>
        <v>52.42561346880013</v>
      </c>
      <c r="KQ21" s="5">
        <v>46072</v>
      </c>
      <c r="KR21" s="6">
        <v>863913.80478832091</v>
      </c>
      <c r="KS21" s="6">
        <f t="shared" si="150"/>
        <v>2186.2669257427833</v>
      </c>
      <c r="KT21" s="6">
        <v>883019.95274083188</v>
      </c>
      <c r="KU21" s="6">
        <f t="shared" si="151"/>
        <v>2234.6179754833975</v>
      </c>
      <c r="KV21" s="6">
        <f t="shared" si="152"/>
        <v>4420.8849012261808</v>
      </c>
      <c r="KW21" s="6"/>
      <c r="KX21" s="6">
        <f t="shared" si="153"/>
        <v>-19106.147952510975</v>
      </c>
      <c r="KY21" s="6">
        <f t="shared" si="154"/>
        <v>-48.351049740613711</v>
      </c>
      <c r="KZ21" s="6">
        <v>3.2417263699999999</v>
      </c>
      <c r="LA21" s="6">
        <f t="shared" si="155"/>
        <v>2225.1209803679999</v>
      </c>
      <c r="LB21" s="6">
        <v>3.2369691029999998</v>
      </c>
      <c r="LC21" s="6">
        <f t="shared" si="156"/>
        <v>2221.8555922992</v>
      </c>
      <c r="LD21" s="6">
        <f t="shared" si="157"/>
        <v>3.2653880688000063</v>
      </c>
      <c r="LF21" s="5">
        <v>46072</v>
      </c>
      <c r="LG21" s="6">
        <v>873877.22890572087</v>
      </c>
      <c r="LH21" s="6">
        <f t="shared" si="158"/>
        <v>2211.480904839178</v>
      </c>
      <c r="LI21" s="6">
        <v>907560.46937205282</v>
      </c>
      <c r="LJ21" s="6">
        <f t="shared" si="159"/>
        <v>2296.7215320582632</v>
      </c>
      <c r="LK21" s="6">
        <f t="shared" si="160"/>
        <v>4508.2024368974417</v>
      </c>
      <c r="LL21" s="6"/>
      <c r="LM21" s="6">
        <f t="shared" si="161"/>
        <v>-33683.240466331947</v>
      </c>
      <c r="LN21" s="6">
        <f t="shared" si="162"/>
        <v>-85.240627219084814</v>
      </c>
      <c r="LO21" s="6">
        <v>36.307783880000002</v>
      </c>
      <c r="LP21" s="6">
        <f t="shared" si="163"/>
        <v>2300.0981087980003</v>
      </c>
      <c r="LQ21" s="6">
        <v>35.648353290000003</v>
      </c>
      <c r="LR21" s="6">
        <f t="shared" si="164"/>
        <v>2258.3231809215004</v>
      </c>
      <c r="LS21" s="6">
        <f t="shared" si="165"/>
        <v>41.774927876499966</v>
      </c>
      <c r="LU21" s="5">
        <v>46072</v>
      </c>
      <c r="LV21" s="6">
        <v>873745.03512840904</v>
      </c>
      <c r="LW21" s="6">
        <f t="shared" si="166"/>
        <v>2211.1463681278492</v>
      </c>
      <c r="LX21" s="6">
        <v>875870.13396050385</v>
      </c>
      <c r="LY21" s="6">
        <f t="shared" si="167"/>
        <v>2216.5242579876849</v>
      </c>
      <c r="LZ21" s="6">
        <f t="shared" si="168"/>
        <v>4427.6706261155341</v>
      </c>
      <c r="MA21" s="6"/>
      <c r="MB21" s="6">
        <f t="shared" si="169"/>
        <v>-2125.098832094809</v>
      </c>
      <c r="MC21" s="6">
        <f t="shared" si="170"/>
        <v>-5.3778898598360572</v>
      </c>
      <c r="MD21" s="6">
        <v>34.996320760000003</v>
      </c>
      <c r="ME21" s="6">
        <f>MD21*L21</f>
        <v>2217.0169201460003</v>
      </c>
      <c r="MF21" s="6">
        <v>35.648353290000003</v>
      </c>
      <c r="MG21" s="6">
        <f t="shared" si="172"/>
        <v>2258.3231809215004</v>
      </c>
      <c r="MH21" s="6">
        <f t="shared" si="173"/>
        <v>-41.306260775499979</v>
      </c>
      <c r="MJ21" s="5">
        <v>46072</v>
      </c>
      <c r="MK21" s="6">
        <v>891610.93818288308</v>
      </c>
      <c r="ML21" s="6">
        <f t="shared" si="174"/>
        <v>2256.3587871562659</v>
      </c>
      <c r="MM21" s="6">
        <v>883179.24692677101</v>
      </c>
      <c r="MN21" s="6">
        <f t="shared" si="175"/>
        <v>2235.0210939522208</v>
      </c>
      <c r="MO21" s="6">
        <f t="shared" si="176"/>
        <v>4491.3798811084871</v>
      </c>
      <c r="MP21" s="6"/>
      <c r="MQ21" s="6">
        <f t="shared" si="177"/>
        <v>8431.6912561120698</v>
      </c>
      <c r="MR21" s="6">
        <f t="shared" si="178"/>
        <v>21.337693204045035</v>
      </c>
      <c r="MS21" s="6">
        <v>7.3011429000000003</v>
      </c>
      <c r="MT21" s="6">
        <f t="shared" si="179"/>
        <v>2207.9386243890003</v>
      </c>
      <c r="MU21" s="6">
        <v>7.5171017799999991</v>
      </c>
      <c r="MV21" s="6">
        <f t="shared" si="180"/>
        <v>2273.2467492897999</v>
      </c>
      <c r="MW21" s="6">
        <f t="shared" si="181"/>
        <v>-65.308124900799626</v>
      </c>
      <c r="MY21" s="5">
        <v>46072</v>
      </c>
      <c r="MZ21" s="6">
        <v>874604.11027518287</v>
      </c>
      <c r="NA21" s="6">
        <f t="shared" si="182"/>
        <v>2213.3203900843328</v>
      </c>
      <c r="NB21" s="6">
        <v>883179.24692677101</v>
      </c>
      <c r="NC21" s="6">
        <f t="shared" si="183"/>
        <v>2235.0210939522208</v>
      </c>
      <c r="ND21" s="6">
        <f t="shared" si="184"/>
        <v>4448.3414840365531</v>
      </c>
      <c r="NE21" s="6"/>
      <c r="NF21" s="6">
        <f t="shared" si="185"/>
        <v>-8575.1366515881382</v>
      </c>
      <c r="NG21" s="6">
        <f t="shared" si="186"/>
        <v>-21.70070386788813</v>
      </c>
      <c r="NH21" s="6">
        <v>7.3001223700000004</v>
      </c>
      <c r="NI21" s="6">
        <f t="shared" si="187"/>
        <v>2207.6300059117002</v>
      </c>
      <c r="NJ21" s="6">
        <v>7.3807442799999992</v>
      </c>
      <c r="NK21" s="6">
        <f t="shared" si="188"/>
        <v>2232.0108777147998</v>
      </c>
      <c r="NL21" s="6">
        <f t="shared" si="189"/>
        <v>-24.380871803099623</v>
      </c>
      <c r="NN21" s="5">
        <v>46072</v>
      </c>
      <c r="NO21" s="6">
        <v>878390.75981155201</v>
      </c>
      <c r="NP21" s="6">
        <f>NO21*P21*O21</f>
        <v>2222.9030898801434</v>
      </c>
      <c r="NQ21" s="6">
        <v>899686.61582885904</v>
      </c>
      <c r="NR21" s="6">
        <f t="shared" si="191"/>
        <v>2276.7955330937657</v>
      </c>
      <c r="NS21" s="6">
        <f t="shared" si="192"/>
        <v>4499.6986229739086</v>
      </c>
      <c r="NT21" s="6"/>
      <c r="NU21" s="6">
        <f t="shared" si="193"/>
        <v>-21295.856017307029</v>
      </c>
      <c r="NV21" s="6">
        <f t="shared" si="194"/>
        <v>-53.892443213622109</v>
      </c>
      <c r="NW21" s="6">
        <v>329482.80455700011</v>
      </c>
      <c r="NX21" s="6">
        <f t="shared" si="195"/>
        <v>2207.5347905319009</v>
      </c>
      <c r="NY21" s="6">
        <v>334865.10070200003</v>
      </c>
      <c r="NZ21" s="6">
        <f t="shared" si="196"/>
        <v>2243.5961747034003</v>
      </c>
      <c r="OA21" s="6">
        <f t="shared" si="197"/>
        <v>-36.061384171499419</v>
      </c>
      <c r="OC21" s="5">
        <v>46072</v>
      </c>
      <c r="OD21" s="6">
        <v>878346.68105433299</v>
      </c>
      <c r="OE21" s="6">
        <f t="shared" si="198"/>
        <v>2222.791541796872</v>
      </c>
      <c r="OF21" s="6">
        <v>882930.98816004698</v>
      </c>
      <c r="OG21" s="6">
        <f t="shared" si="199"/>
        <v>2234.3928369111754</v>
      </c>
      <c r="OH21" s="6">
        <f t="shared" si="200"/>
        <v>4457.184378708047</v>
      </c>
      <c r="OI21" s="6"/>
      <c r="OJ21" s="6">
        <f t="shared" si="201"/>
        <v>-4584.3071057139896</v>
      </c>
      <c r="OK21" s="6">
        <f t="shared" si="202"/>
        <v>-11.601295114303531</v>
      </c>
      <c r="OL21" s="6">
        <v>323260.13407199999</v>
      </c>
      <c r="OM21" s="6">
        <f t="shared" si="203"/>
        <v>2165.8428982823998</v>
      </c>
      <c r="ON21" s="6">
        <v>334865.10070200003</v>
      </c>
      <c r="OO21" s="6">
        <f t="shared" si="204"/>
        <v>2243.5961747034003</v>
      </c>
      <c r="OP21" s="6">
        <f t="shared" si="205"/>
        <v>-77.753276421000265</v>
      </c>
    </row>
    <row r="22" spans="1:406" x14ac:dyDescent="0.2">
      <c r="A22" s="5">
        <v>46073</v>
      </c>
      <c r="B22" s="10">
        <v>169.04</v>
      </c>
      <c r="C22" s="6">
        <v>77.02</v>
      </c>
      <c r="D22" s="6">
        <v>188.28</v>
      </c>
      <c r="E22" s="6">
        <v>462.33</v>
      </c>
      <c r="F22" s="6">
        <v>411.94</v>
      </c>
      <c r="G22" s="2">
        <v>2.0999999999999999E-3</v>
      </c>
      <c r="H22" s="6">
        <v>3.8</v>
      </c>
      <c r="I22" s="6">
        <v>606.33000000000004</v>
      </c>
      <c r="J22" s="6">
        <v>133.01</v>
      </c>
      <c r="K22" s="6">
        <v>688.11</v>
      </c>
      <c r="L22" s="6">
        <v>63.56</v>
      </c>
      <c r="M22" s="6">
        <v>308.41000000000003</v>
      </c>
      <c r="N22" s="6">
        <v>6.8999999999999999E-3</v>
      </c>
      <c r="O22" s="6">
        <v>84.402000000000001</v>
      </c>
      <c r="P22" s="7">
        <v>3.0800000000000003E-5</v>
      </c>
      <c r="R22" s="5">
        <v>46073</v>
      </c>
      <c r="S22" s="6">
        <v>747336.15401548008</v>
      </c>
      <c r="T22" s="6">
        <f t="shared" si="0"/>
        <v>1942.7613149934084</v>
      </c>
      <c r="U22" s="6">
        <v>731311.48176056088</v>
      </c>
      <c r="V22" s="6">
        <f t="shared" si="1"/>
        <v>1901.1038718534899</v>
      </c>
      <c r="W22" s="6">
        <f t="shared" si="2"/>
        <v>3843.8651868468983</v>
      </c>
      <c r="X22" s="6"/>
      <c r="Y22" s="6">
        <f t="shared" si="3"/>
        <v>16024.672254919191</v>
      </c>
      <c r="Z22" s="6">
        <f t="shared" si="4"/>
        <v>41.657443139918442</v>
      </c>
      <c r="AA22" s="6">
        <v>11.0262384</v>
      </c>
      <c r="AB22" s="6">
        <f t="shared" si="5"/>
        <v>1863.8753391360001</v>
      </c>
      <c r="AC22" s="6">
        <v>11.50035774</v>
      </c>
      <c r="AD22" s="6">
        <f t="shared" si="6"/>
        <v>1944.0204723695999</v>
      </c>
      <c r="AE22" s="6">
        <f t="shared" si="7"/>
        <v>-80.145133233599935</v>
      </c>
      <c r="AG22" s="5">
        <v>46073</v>
      </c>
      <c r="AH22" s="6">
        <v>743416.04704077693</v>
      </c>
      <c r="AI22" s="6">
        <f t="shared" si="8"/>
        <v>1932.5706770319384</v>
      </c>
      <c r="AJ22" s="6">
        <v>700850.91654519294</v>
      </c>
      <c r="AK22" s="6">
        <f t="shared" si="9"/>
        <v>1821.9191469940195</v>
      </c>
      <c r="AL22" s="6">
        <f t="shared" si="10"/>
        <v>3754.4898240259581</v>
      </c>
      <c r="AM22" s="6"/>
      <c r="AN22" s="6">
        <f t="shared" si="11"/>
        <v>42565.130495583988</v>
      </c>
      <c r="AO22" s="6">
        <f t="shared" si="12"/>
        <v>110.65153003791903</v>
      </c>
      <c r="AP22" s="6">
        <v>10.57268797</v>
      </c>
      <c r="AQ22" s="6">
        <f t="shared" si="13"/>
        <v>1787.2071744488001</v>
      </c>
      <c r="AR22" s="6">
        <v>11.447284610000001</v>
      </c>
      <c r="AS22" s="6">
        <f t="shared" si="14"/>
        <v>1935.0489904743999</v>
      </c>
      <c r="AT22" s="6">
        <f t="shared" si="15"/>
        <v>-147.8418160256</v>
      </c>
      <c r="AV22" s="5">
        <v>46073</v>
      </c>
      <c r="AW22" s="6">
        <v>761627.7205605919</v>
      </c>
      <c r="AX22" s="6">
        <f t="shared" si="16"/>
        <v>1979.9134084192565</v>
      </c>
      <c r="AY22" s="6">
        <v>720475.83348369889</v>
      </c>
      <c r="AZ22" s="6">
        <f t="shared" si="17"/>
        <v>1872.9357199688877</v>
      </c>
      <c r="BA22" s="6">
        <f t="shared" si="18"/>
        <v>3852.849128388144</v>
      </c>
      <c r="BB22" s="6"/>
      <c r="BC22" s="6">
        <f t="shared" si="206"/>
        <v>41151.887076893006</v>
      </c>
      <c r="BD22" s="6">
        <f t="shared" si="19"/>
        <v>106.97768845036886</v>
      </c>
      <c r="BE22" s="6">
        <v>24.019247660000001</v>
      </c>
      <c r="BF22" s="6">
        <f t="shared" si="20"/>
        <v>1849.9624547732001</v>
      </c>
      <c r="BG22" s="6">
        <v>25.912557670000002</v>
      </c>
      <c r="BH22" s="6">
        <f t="shared" si="21"/>
        <v>1995.7851917434</v>
      </c>
      <c r="BI22" s="6">
        <f t="shared" si="22"/>
        <v>-145.82273697020003</v>
      </c>
      <c r="BK22" s="5">
        <v>46073</v>
      </c>
      <c r="BL22" s="6">
        <v>762745.36778085493</v>
      </c>
      <c r="BM22" s="6">
        <f t="shared" si="23"/>
        <v>1982.8188235683435</v>
      </c>
      <c r="BN22" s="6">
        <v>701789.62119735696</v>
      </c>
      <c r="BO22" s="6">
        <f t="shared" si="24"/>
        <v>1824.3593863356193</v>
      </c>
      <c r="BP22" s="6">
        <f t="shared" si="25"/>
        <v>3807.1782099039629</v>
      </c>
      <c r="BQ22" s="6"/>
      <c r="BR22" s="6">
        <f t="shared" si="26"/>
        <v>60955.746583497967</v>
      </c>
      <c r="BS22" s="6">
        <f t="shared" si="27"/>
        <v>158.45943723272418</v>
      </c>
      <c r="BT22" s="6">
        <v>23.387625329999999</v>
      </c>
      <c r="BU22" s="6">
        <f t="shared" si="28"/>
        <v>1801.3149029165997</v>
      </c>
      <c r="BV22" s="6">
        <v>25.958646569999999</v>
      </c>
      <c r="BW22" s="6">
        <f t="shared" si="29"/>
        <v>1999.3349588213998</v>
      </c>
      <c r="BX22" s="6">
        <f t="shared" si="30"/>
        <v>-198.02005590480002</v>
      </c>
      <c r="BZ22" s="5">
        <v>46073</v>
      </c>
      <c r="CA22" s="6">
        <v>710687.80141244689</v>
      </c>
      <c r="CB22" s="6">
        <f t="shared" si="31"/>
        <v>1847.4909318962511</v>
      </c>
      <c r="CC22" s="6">
        <v>799088.43923535803</v>
      </c>
      <c r="CD22" s="6">
        <f t="shared" si="32"/>
        <v>2077.2956034089552</v>
      </c>
      <c r="CE22" s="6">
        <f t="shared" si="33"/>
        <v>3924.7865353052066</v>
      </c>
      <c r="CF22" s="6"/>
      <c r="CG22" s="6">
        <f t="shared" si="34"/>
        <v>-88400.637822911143</v>
      </c>
      <c r="CH22" s="6">
        <f t="shared" si="35"/>
        <v>-229.80467151270389</v>
      </c>
      <c r="CI22" s="6">
        <v>10.73698147</v>
      </c>
      <c r="CJ22" s="6">
        <f t="shared" si="36"/>
        <v>2021.5588711716</v>
      </c>
      <c r="CK22" s="6">
        <v>9.7468988700000025</v>
      </c>
      <c r="CL22" s="6">
        <f t="shared" si="37"/>
        <v>1835.1461192436004</v>
      </c>
      <c r="CM22" s="6">
        <f t="shared" si="38"/>
        <v>186.41275192799949</v>
      </c>
      <c r="CO22" s="5">
        <v>46073</v>
      </c>
      <c r="CP22" s="6">
        <v>732099.15798601496</v>
      </c>
      <c r="CQ22" s="6">
        <f t="shared" si="39"/>
        <v>1903.1515004759378</v>
      </c>
      <c r="CR22" s="6">
        <v>771698.81397421996</v>
      </c>
      <c r="CS22" s="6">
        <f t="shared" si="40"/>
        <v>2006.0940375492053</v>
      </c>
      <c r="CT22" s="6">
        <f t="shared" si="41"/>
        <v>3909.2455380251431</v>
      </c>
      <c r="CU22" s="6"/>
      <c r="CV22" s="6">
        <f t="shared" si="42"/>
        <v>-39599.655988204991</v>
      </c>
      <c r="CW22" s="6">
        <f t="shared" si="43"/>
        <v>-102.94253707326752</v>
      </c>
      <c r="CX22" s="6">
        <v>10.37155319</v>
      </c>
      <c r="CY22" s="6">
        <f t="shared" si="44"/>
        <v>1952.7560346132</v>
      </c>
      <c r="CZ22" s="6">
        <v>10.04646269</v>
      </c>
      <c r="DA22" s="6">
        <f t="shared" si="45"/>
        <v>1891.5479952732001</v>
      </c>
      <c r="DB22" s="6">
        <f t="shared" si="46"/>
        <v>61.208039339999992</v>
      </c>
      <c r="DD22" s="5">
        <v>46073</v>
      </c>
      <c r="DE22" s="6">
        <v>753385.31793896412</v>
      </c>
      <c r="DF22" s="6">
        <f t="shared" si="47"/>
        <v>1958.4866102242811</v>
      </c>
      <c r="DG22" s="6">
        <v>711863.21601998096</v>
      </c>
      <c r="DH22" s="6">
        <f t="shared" si="48"/>
        <v>1850.546518082368</v>
      </c>
      <c r="DI22" s="6">
        <f t="shared" si="49"/>
        <v>3809.0331283066489</v>
      </c>
      <c r="DJ22" s="6"/>
      <c r="DK22" s="6">
        <f t="shared" si="50"/>
        <v>41522.101918983157</v>
      </c>
      <c r="DL22" s="6">
        <f t="shared" si="51"/>
        <v>107.94009214191333</v>
      </c>
      <c r="DM22" s="6">
        <v>3.9054327999999998</v>
      </c>
      <c r="DN22" s="6">
        <f t="shared" si="52"/>
        <v>1805.598746424</v>
      </c>
      <c r="DO22" s="6">
        <v>4.2150359000000002</v>
      </c>
      <c r="DP22" s="6">
        <f t="shared" si="53"/>
        <v>1948.7375476469999</v>
      </c>
      <c r="DQ22" s="6">
        <f t="shared" si="54"/>
        <v>-143.13880122300017</v>
      </c>
      <c r="DS22" s="5">
        <v>46073</v>
      </c>
      <c r="DT22" s="6">
        <v>767147.52672477509</v>
      </c>
      <c r="DU22" s="6">
        <f t="shared" si="55"/>
        <v>1994.2625949592339</v>
      </c>
      <c r="DV22" s="6">
        <v>692094.51157293702</v>
      </c>
      <c r="DW22" s="6">
        <f t="shared" si="56"/>
        <v>1799.1561577459943</v>
      </c>
      <c r="DX22" s="6">
        <f t="shared" si="57"/>
        <v>3793.4187527052281</v>
      </c>
      <c r="DY22" s="6"/>
      <c r="DZ22" s="6">
        <f t="shared" si="58"/>
        <v>75053.015151838074</v>
      </c>
      <c r="EA22" s="6">
        <f t="shared" si="59"/>
        <v>195.1064372132395</v>
      </c>
      <c r="EB22" s="6">
        <v>3.79607071</v>
      </c>
      <c r="EC22" s="6">
        <f t="shared" si="60"/>
        <v>1755.0373713542999</v>
      </c>
      <c r="ED22" s="6">
        <v>4.2912114799999994</v>
      </c>
      <c r="EE22" s="6">
        <f t="shared" si="61"/>
        <v>1983.9558035483997</v>
      </c>
      <c r="EF22" s="6">
        <f t="shared" si="62"/>
        <v>-228.91843219409975</v>
      </c>
      <c r="EH22" s="5">
        <v>46073</v>
      </c>
      <c r="EI22" s="6">
        <v>2177139.9859873829</v>
      </c>
      <c r="EJ22" s="6">
        <f t="shared" si="63"/>
        <v>5659.6530481970594</v>
      </c>
      <c r="EK22" s="6">
        <v>2254017.0389644108</v>
      </c>
      <c r="EL22" s="6">
        <f t="shared" si="64"/>
        <v>5859.501220578366</v>
      </c>
      <c r="EM22" s="6">
        <f t="shared" si="65"/>
        <v>11519.154268775426</v>
      </c>
      <c r="EN22" s="6"/>
      <c r="EO22" s="6">
        <f t="shared" si="66"/>
        <v>-76877.052977027837</v>
      </c>
      <c r="EP22" s="6">
        <f t="shared" si="67"/>
        <v>-199.8481723813068</v>
      </c>
      <c r="EQ22" s="6">
        <v>14.038836420000001</v>
      </c>
      <c r="ER22" s="6">
        <f t="shared" si="68"/>
        <v>5783.1582748548008</v>
      </c>
      <c r="ES22" s="6">
        <v>13.626256679999999</v>
      </c>
      <c r="ET22" s="6">
        <f t="shared" si="69"/>
        <v>5613.2001767591992</v>
      </c>
      <c r="EU22" s="6">
        <f t="shared" si="70"/>
        <v>169.95809809560072</v>
      </c>
      <c r="EW22" s="5">
        <v>46073</v>
      </c>
      <c r="EX22" s="6">
        <v>2178035.6293398612</v>
      </c>
      <c r="EY22" s="6">
        <f t="shared" si="71"/>
        <v>5661.9813461763242</v>
      </c>
      <c r="EZ22" s="6">
        <v>2284213.7947717779</v>
      </c>
      <c r="FA22" s="6">
        <f t="shared" si="72"/>
        <v>5938.0001513548914</v>
      </c>
      <c r="FB22" s="6">
        <f t="shared" si="73"/>
        <v>11599.981497531215</v>
      </c>
      <c r="FC22" s="6"/>
      <c r="FD22" s="6">
        <f t="shared" si="74"/>
        <v>-106178.16543191671</v>
      </c>
      <c r="FE22" s="6">
        <f t="shared" si="75"/>
        <v>-276.01880517856677</v>
      </c>
      <c r="FF22" s="6">
        <v>14.212618129999999</v>
      </c>
      <c r="FG22" s="6">
        <f t="shared" si="76"/>
        <v>5854.7459124722</v>
      </c>
      <c r="FH22" s="6">
        <v>13.654984499999999</v>
      </c>
      <c r="FI22" s="6">
        <f t="shared" si="77"/>
        <v>5625.0343149299997</v>
      </c>
      <c r="FJ22" s="6">
        <f t="shared" si="78"/>
        <v>229.71159754219991</v>
      </c>
      <c r="FL22" s="5">
        <v>46073</v>
      </c>
      <c r="FM22" s="6">
        <v>545923.36004647799</v>
      </c>
      <c r="FN22" s="6">
        <f t="shared" si="79"/>
        <v>1419.1723217869996</v>
      </c>
      <c r="FO22" s="6">
        <v>557882.39218599303</v>
      </c>
      <c r="FP22" s="6">
        <f t="shared" si="80"/>
        <v>1450.2608016906916</v>
      </c>
      <c r="FQ22" s="6">
        <f t="shared" si="81"/>
        <v>2869.433123477691</v>
      </c>
      <c r="FR22" s="6"/>
      <c r="FS22" s="6">
        <f t="shared" si="82"/>
        <v>-11959.032139515039</v>
      </c>
      <c r="FT22" s="6">
        <f t="shared" si="83"/>
        <v>-31.088479903691933</v>
      </c>
      <c r="FU22" s="6">
        <v>675124.29480100004</v>
      </c>
      <c r="FV22" s="6">
        <f t="shared" si="84"/>
        <v>1417.7610190820999</v>
      </c>
      <c r="FW22" s="6">
        <v>687783.87863599998</v>
      </c>
      <c r="FX22" s="6">
        <f t="shared" si="85"/>
        <v>1444.3461451356</v>
      </c>
      <c r="FY22" s="6">
        <f t="shared" si="86"/>
        <v>-26.58512605349987</v>
      </c>
      <c r="GA22" s="5">
        <v>46073</v>
      </c>
      <c r="GB22" s="6">
        <v>536916.5866149161</v>
      </c>
      <c r="GC22" s="6">
        <f t="shared" si="87"/>
        <v>1395.7584792989423</v>
      </c>
      <c r="GD22" s="6">
        <v>583604.10709502606</v>
      </c>
      <c r="GE22" s="6">
        <f t="shared" si="88"/>
        <v>1517.1264984886595</v>
      </c>
      <c r="GF22" s="6">
        <f t="shared" si="89"/>
        <v>2912.8849777876021</v>
      </c>
      <c r="GG22" s="6"/>
      <c r="GH22" s="6">
        <f t="shared" si="90"/>
        <v>-46687.520480109961</v>
      </c>
      <c r="GI22" s="6">
        <f t="shared" si="91"/>
        <v>-121.36801918971703</v>
      </c>
      <c r="GJ22" s="6">
        <v>706331.5350390001</v>
      </c>
      <c r="GK22" s="6">
        <f t="shared" si="92"/>
        <v>1483.2962235819002</v>
      </c>
      <c r="GL22" s="6">
        <v>676768.95054400002</v>
      </c>
      <c r="GM22" s="6">
        <f t="shared" si="93"/>
        <v>1421.2147961424</v>
      </c>
      <c r="GN22" s="6">
        <f t="shared" si="94"/>
        <v>62.081427439500153</v>
      </c>
      <c r="GP22" s="5">
        <v>46073</v>
      </c>
      <c r="GQ22" s="6">
        <v>563423.71593783004</v>
      </c>
      <c r="GR22" s="6">
        <f t="shared" si="95"/>
        <v>1464.6659249556099</v>
      </c>
      <c r="GS22" s="6">
        <v>580202.45639533596</v>
      </c>
      <c r="GT22" s="6">
        <f t="shared" si="96"/>
        <v>1508.2836299201178</v>
      </c>
      <c r="GU22" s="6">
        <f t="shared" si="97"/>
        <v>2972.9495548757277</v>
      </c>
      <c r="GV22" s="6"/>
      <c r="GW22" s="6">
        <f t="shared" si="98"/>
        <v>-16778.740457505919</v>
      </c>
      <c r="GX22" s="6">
        <f t="shared" si="99"/>
        <v>-43.617704964507979</v>
      </c>
      <c r="GY22" s="6">
        <v>410.02498700000001</v>
      </c>
      <c r="GZ22" s="6">
        <f t="shared" si="100"/>
        <v>1558.0949505999999</v>
      </c>
      <c r="HA22" s="6">
        <v>414.41363899999988</v>
      </c>
      <c r="HB22" s="6">
        <f t="shared" si="101"/>
        <v>1574.7718281999994</v>
      </c>
      <c r="HC22" s="6">
        <f t="shared" si="207"/>
        <v>-16.676877599999489</v>
      </c>
      <c r="HE22" s="5">
        <v>46073</v>
      </c>
      <c r="HF22" s="6">
        <v>549536.09655956214</v>
      </c>
      <c r="HG22" s="6">
        <f t="shared" si="102"/>
        <v>1428.5639251520611</v>
      </c>
      <c r="HH22" s="6">
        <v>606952.92362622602</v>
      </c>
      <c r="HI22" s="6">
        <f t="shared" si="103"/>
        <v>1577.8236523249427</v>
      </c>
      <c r="HJ22" s="6">
        <f t="shared" si="104"/>
        <v>3006.387577477004</v>
      </c>
      <c r="HK22" s="6"/>
      <c r="HL22" s="6">
        <f t="shared" si="105"/>
        <v>-57416.827066663885</v>
      </c>
      <c r="HM22" s="6">
        <f t="shared" si="106"/>
        <v>-149.25972717288141</v>
      </c>
      <c r="HN22" s="6">
        <v>429.274924</v>
      </c>
      <c r="HO22" s="6">
        <f t="shared" si="107"/>
        <v>1631.2447112</v>
      </c>
      <c r="HP22" s="6">
        <v>404.25819499999989</v>
      </c>
      <c r="HQ22" s="6">
        <f t="shared" si="108"/>
        <v>1536.1811409999996</v>
      </c>
      <c r="HR22" s="6">
        <f t="shared" si="109"/>
        <v>95.063570200000413</v>
      </c>
      <c r="HT22" s="5">
        <v>46073</v>
      </c>
      <c r="HU22" s="6">
        <v>593565.60968303191</v>
      </c>
      <c r="HV22" s="6">
        <f t="shared" si="110"/>
        <v>1543.0222373247918</v>
      </c>
      <c r="HW22" s="6">
        <v>540075.16684601316</v>
      </c>
      <c r="HX22" s="6">
        <f t="shared" si="111"/>
        <v>1403.969466349826</v>
      </c>
      <c r="HY22" s="6">
        <f t="shared" si="112"/>
        <v>2946.9917036746178</v>
      </c>
      <c r="HZ22" s="6"/>
      <c r="IA22" s="6">
        <f t="shared" si="113"/>
        <v>53490.442837018752</v>
      </c>
      <c r="IB22" s="6">
        <f t="shared" si="114"/>
        <v>139.05277097496577</v>
      </c>
      <c r="IC22" s="6">
        <v>2.2345608600000002</v>
      </c>
      <c r="ID22" s="6">
        <f t="shared" si="115"/>
        <v>1354.8812862438001</v>
      </c>
      <c r="IE22" s="6">
        <v>2.5565425500000001</v>
      </c>
      <c r="IF22" s="6">
        <f t="shared" si="116"/>
        <v>1550.1084443415002</v>
      </c>
      <c r="IG22" s="6">
        <f t="shared" si="117"/>
        <v>-195.22715809769994</v>
      </c>
      <c r="II22" s="5">
        <v>46073</v>
      </c>
      <c r="IJ22" s="6">
        <v>596237.86790989107</v>
      </c>
      <c r="IK22" s="6">
        <f t="shared" si="118"/>
        <v>1549.9689906417834</v>
      </c>
      <c r="IL22" s="6">
        <v>529464.11149439216</v>
      </c>
      <c r="IM22" s="6">
        <f t="shared" si="119"/>
        <v>1376.3851621011704</v>
      </c>
      <c r="IN22" s="6">
        <f t="shared" si="120"/>
        <v>2926.3541527429538</v>
      </c>
      <c r="IO22" s="6"/>
      <c r="IP22" s="6">
        <f t="shared" si="121"/>
        <v>66773.756415498909</v>
      </c>
      <c r="IQ22" s="6">
        <f t="shared" si="122"/>
        <v>173.58382854061293</v>
      </c>
      <c r="IR22" s="6">
        <v>2.1901373500000001</v>
      </c>
      <c r="IS22" s="6">
        <f t="shared" si="123"/>
        <v>1327.9459794255001</v>
      </c>
      <c r="IT22" s="6">
        <v>2.5681841300000001</v>
      </c>
      <c r="IU22" s="6">
        <f t="shared" si="124"/>
        <v>1557.1670835429002</v>
      </c>
      <c r="IV22" s="6">
        <f t="shared" si="125"/>
        <v>-229.22110411740005</v>
      </c>
      <c r="IX22" s="5">
        <v>46073</v>
      </c>
      <c r="IY22" s="6">
        <v>741947.24568665912</v>
      </c>
      <c r="IZ22" s="6">
        <f t="shared" si="126"/>
        <v>1928.7524080577186</v>
      </c>
      <c r="JA22" s="6">
        <v>657462.09214940807</v>
      </c>
      <c r="JB22" s="6">
        <f t="shared" si="127"/>
        <v>1709.1263574491059</v>
      </c>
      <c r="JC22" s="6">
        <f t="shared" si="128"/>
        <v>3637.8787655068245</v>
      </c>
      <c r="JD22" s="6"/>
      <c r="JE22" s="6">
        <f t="shared" si="129"/>
        <v>84485.153537251055</v>
      </c>
      <c r="JF22" s="6">
        <f t="shared" si="130"/>
        <v>219.62605060861279</v>
      </c>
      <c r="JG22" s="6">
        <v>12.72857203</v>
      </c>
      <c r="JH22" s="6">
        <f t="shared" si="131"/>
        <v>1693.0273657103</v>
      </c>
      <c r="JI22" s="6">
        <v>14.651235120000001</v>
      </c>
      <c r="JJ22" s="6">
        <f t="shared" si="132"/>
        <v>1948.7607833111999</v>
      </c>
      <c r="JK22" s="6">
        <f t="shared" si="133"/>
        <v>-255.73341760090003</v>
      </c>
      <c r="JM22" s="5">
        <v>46073</v>
      </c>
      <c r="JN22" s="6">
        <v>774048.85695400601</v>
      </c>
      <c r="JO22" s="6">
        <f t="shared" si="134"/>
        <v>2012.2031660386663</v>
      </c>
      <c r="JP22" s="6">
        <v>705590.85675362602</v>
      </c>
      <c r="JQ22" s="6">
        <f t="shared" si="135"/>
        <v>1834.2410083449622</v>
      </c>
      <c r="JR22" s="6">
        <f t="shared" si="136"/>
        <v>3846.4441743836287</v>
      </c>
      <c r="JS22" s="6"/>
      <c r="JT22" s="6">
        <f t="shared" si="137"/>
        <v>68458.000200379989</v>
      </c>
      <c r="JU22" s="6">
        <f t="shared" si="138"/>
        <v>177.96215769370417</v>
      </c>
      <c r="JV22" s="6">
        <v>13.65649741</v>
      </c>
      <c r="JW22" s="6">
        <f t="shared" si="139"/>
        <v>1816.4507205041</v>
      </c>
      <c r="JX22" s="6">
        <v>15.28708885</v>
      </c>
      <c r="JY22" s="6">
        <f t="shared" si="140"/>
        <v>2033.3356879384999</v>
      </c>
      <c r="JZ22" s="6">
        <f t="shared" si="141"/>
        <v>-216.88496743439998</v>
      </c>
      <c r="KB22" s="5">
        <v>46073</v>
      </c>
      <c r="KC22" s="6">
        <v>760665.29222512199</v>
      </c>
      <c r="KD22" s="6">
        <f t="shared" si="142"/>
        <v>1977.4114974270506</v>
      </c>
      <c r="KE22" s="6">
        <v>712269.03680713603</v>
      </c>
      <c r="KF22" s="6">
        <f t="shared" si="143"/>
        <v>1851.6014823335536</v>
      </c>
      <c r="KG22" s="6">
        <f t="shared" si="144"/>
        <v>3829.0129797606041</v>
      </c>
      <c r="KH22" s="6"/>
      <c r="KI22" s="6">
        <f t="shared" si="145"/>
        <v>48396.255417985958</v>
      </c>
      <c r="KJ22" s="6">
        <f t="shared" si="146"/>
        <v>125.81001509349662</v>
      </c>
      <c r="KK22" s="6">
        <v>2.650365336000001</v>
      </c>
      <c r="KL22" s="6">
        <f t="shared" si="147"/>
        <v>1823.7428913549606</v>
      </c>
      <c r="KM22" s="6">
        <v>2.8843332049999999</v>
      </c>
      <c r="KN22" s="6">
        <f t="shared" si="148"/>
        <v>1984.73852169255</v>
      </c>
      <c r="KO22" s="6">
        <f t="shared" si="149"/>
        <v>-160.99563033758923</v>
      </c>
      <c r="KQ22" s="5">
        <v>46073</v>
      </c>
      <c r="KR22" s="6">
        <v>761288.49328596704</v>
      </c>
      <c r="KS22" s="6">
        <f t="shared" si="150"/>
        <v>1979.0315594379235</v>
      </c>
      <c r="KT22" s="6">
        <v>700266.29462817812</v>
      </c>
      <c r="KU22" s="6">
        <f t="shared" si="151"/>
        <v>1820.3993746155909</v>
      </c>
      <c r="KV22" s="6">
        <f t="shared" si="152"/>
        <v>3799.4309340535146</v>
      </c>
      <c r="KW22" s="6"/>
      <c r="KX22" s="6">
        <f t="shared" si="153"/>
        <v>61022.198657788918</v>
      </c>
      <c r="KY22" s="6">
        <f t="shared" si="154"/>
        <v>158.63218482233279</v>
      </c>
      <c r="KZ22" s="6">
        <v>2.6039414179999998</v>
      </c>
      <c r="LA22" s="6">
        <f t="shared" si="155"/>
        <v>1791.7981291399799</v>
      </c>
      <c r="LB22" s="6">
        <v>2.8871202130000002</v>
      </c>
      <c r="LC22" s="6">
        <f t="shared" si="156"/>
        <v>1986.6562897674303</v>
      </c>
      <c r="LD22" s="6">
        <f t="shared" si="157"/>
        <v>-194.8581606274503</v>
      </c>
      <c r="LF22" s="5">
        <v>46073</v>
      </c>
      <c r="LG22" s="6">
        <v>720987.14738688502</v>
      </c>
      <c r="LH22" s="6">
        <f t="shared" si="158"/>
        <v>1874.2649221834345</v>
      </c>
      <c r="LI22" s="6">
        <v>773086.51807262003</v>
      </c>
      <c r="LJ22" s="6">
        <f t="shared" si="159"/>
        <v>2009.7014875896507</v>
      </c>
      <c r="LK22" s="6">
        <f t="shared" si="160"/>
        <v>3883.9664097730852</v>
      </c>
      <c r="LL22" s="6"/>
      <c r="LM22" s="6">
        <f t="shared" si="161"/>
        <v>-52099.370685735019</v>
      </c>
      <c r="LN22" s="6">
        <f t="shared" si="162"/>
        <v>-135.43656540621615</v>
      </c>
      <c r="LO22" s="6">
        <v>31.266439439999999</v>
      </c>
      <c r="LP22" s="6">
        <f t="shared" si="163"/>
        <v>1987.2948908064</v>
      </c>
      <c r="LQ22" s="6">
        <v>29.732626639999999</v>
      </c>
      <c r="LR22" s="6">
        <f t="shared" si="164"/>
        <v>1889.8057492384</v>
      </c>
      <c r="LS22" s="6">
        <f t="shared" si="165"/>
        <v>97.489141567999994</v>
      </c>
      <c r="LU22" s="5">
        <v>46073</v>
      </c>
      <c r="LV22" s="6">
        <v>675901.48413110897</v>
      </c>
      <c r="LW22" s="6">
        <f t="shared" si="166"/>
        <v>1757.0610615599232</v>
      </c>
      <c r="LX22" s="6">
        <v>762154.73677110509</v>
      </c>
      <c r="LY22" s="6">
        <f t="shared" si="167"/>
        <v>1981.2834300630084</v>
      </c>
      <c r="LZ22" s="6">
        <f t="shared" si="168"/>
        <v>3738.3444916229319</v>
      </c>
      <c r="MA22" s="6"/>
      <c r="MB22" s="6">
        <f t="shared" si="169"/>
        <v>-86253.252639996121</v>
      </c>
      <c r="MC22" s="6">
        <f t="shared" si="170"/>
        <v>-224.22236850308536</v>
      </c>
      <c r="MD22" s="6">
        <v>30.815110449999999</v>
      </c>
      <c r="ME22" s="6">
        <f t="shared" si="171"/>
        <v>1958.6084202019999</v>
      </c>
      <c r="MF22" s="6">
        <v>27.89113798</v>
      </c>
      <c r="MG22" s="6">
        <f t="shared" si="172"/>
        <v>1772.7607300088</v>
      </c>
      <c r="MH22" s="6">
        <f t="shared" si="173"/>
        <v>185.84769019319995</v>
      </c>
      <c r="MJ22" s="5">
        <v>46073</v>
      </c>
      <c r="MK22" s="6">
        <v>753112.64798763592</v>
      </c>
      <c r="ML22" s="6">
        <f t="shared" si="174"/>
        <v>1957.7777824359357</v>
      </c>
      <c r="MM22" s="6">
        <v>725586.2689274291</v>
      </c>
      <c r="MN22" s="6">
        <f t="shared" si="175"/>
        <v>1886.2207139163966</v>
      </c>
      <c r="MO22" s="6">
        <f t="shared" si="176"/>
        <v>3843.998496352332</v>
      </c>
      <c r="MP22" s="6"/>
      <c r="MQ22" s="6">
        <f t="shared" si="177"/>
        <v>27526.379060206818</v>
      </c>
      <c r="MR22" s="6">
        <f t="shared" si="178"/>
        <v>71.557068519538944</v>
      </c>
      <c r="MS22" s="6">
        <v>5.9711968399999993</v>
      </c>
      <c r="MT22" s="6">
        <f t="shared" si="179"/>
        <v>1841.5768174243999</v>
      </c>
      <c r="MU22" s="6">
        <v>6.3261130200000011</v>
      </c>
      <c r="MV22" s="6">
        <f t="shared" si="180"/>
        <v>1951.0365164982004</v>
      </c>
      <c r="MW22" s="6">
        <f t="shared" si="181"/>
        <v>-109.45969907380056</v>
      </c>
      <c r="MY22" s="5">
        <v>46073</v>
      </c>
      <c r="MZ22" s="6">
        <v>780913.08835840598</v>
      </c>
      <c r="NA22" s="6">
        <f t="shared" si="182"/>
        <v>2030.0472956956867</v>
      </c>
      <c r="NB22" s="6">
        <v>729973.58206927089</v>
      </c>
      <c r="NC22" s="6">
        <f t="shared" si="183"/>
        <v>1897.6258924333667</v>
      </c>
      <c r="ND22" s="6">
        <f t="shared" si="184"/>
        <v>3927.6731881290534</v>
      </c>
      <c r="NE22" s="6"/>
      <c r="NF22" s="6">
        <f t="shared" si="185"/>
        <v>50939.506289135083</v>
      </c>
      <c r="NG22" s="6">
        <f t="shared" si="186"/>
        <v>132.42140326231984</v>
      </c>
      <c r="NH22" s="6">
        <v>6.0088424200000006</v>
      </c>
      <c r="NI22" s="6">
        <f t="shared" si="187"/>
        <v>1853.1870907522002</v>
      </c>
      <c r="NJ22" s="6">
        <v>6.5613619600000002</v>
      </c>
      <c r="NK22" s="6">
        <f t="shared" si="188"/>
        <v>2023.5896420836002</v>
      </c>
      <c r="NL22" s="6">
        <f t="shared" si="189"/>
        <v>-170.40255133139988</v>
      </c>
      <c r="NN22" s="5">
        <v>46073</v>
      </c>
      <c r="NO22" s="6">
        <v>745702.87951466383</v>
      </c>
      <c r="NP22" s="6">
        <f t="shared" si="190"/>
        <v>1938.5154846533374</v>
      </c>
      <c r="NQ22" s="6">
        <v>772600.69243138703</v>
      </c>
      <c r="NR22" s="6">
        <f t="shared" si="191"/>
        <v>2008.4385441918932</v>
      </c>
      <c r="NS22" s="6">
        <f t="shared" si="192"/>
        <v>3946.9540288452308</v>
      </c>
      <c r="NT22" s="6"/>
      <c r="NU22" s="6">
        <f t="shared" si="193"/>
        <v>-26897.812916723196</v>
      </c>
      <c r="NV22" s="6">
        <f t="shared" si="194"/>
        <v>-69.923059538555961</v>
      </c>
      <c r="NW22" s="6">
        <v>287348.73398700001</v>
      </c>
      <c r="NX22" s="6">
        <f t="shared" si="195"/>
        <v>1982.7062645103001</v>
      </c>
      <c r="NY22" s="6">
        <v>288682.30800399999</v>
      </c>
      <c r="NZ22" s="6">
        <f t="shared" si="196"/>
        <v>1991.9079252275999</v>
      </c>
      <c r="OA22" s="6">
        <f t="shared" si="197"/>
        <v>-9.201660717299843</v>
      </c>
      <c r="OC22" s="5">
        <v>46073</v>
      </c>
      <c r="OD22" s="6">
        <v>728227.90567017207</v>
      </c>
      <c r="OE22" s="6">
        <f t="shared" si="198"/>
        <v>1893.0878641867153</v>
      </c>
      <c r="OF22" s="6">
        <v>779608.03236157307</v>
      </c>
      <c r="OG22" s="6">
        <f t="shared" si="199"/>
        <v>2026.6546961393501</v>
      </c>
      <c r="OH22" s="6">
        <f t="shared" si="200"/>
        <v>3919.7425603260654</v>
      </c>
      <c r="OI22" s="6"/>
      <c r="OJ22" s="6">
        <f t="shared" si="201"/>
        <v>-51380.126691401005</v>
      </c>
      <c r="OK22" s="6">
        <f t="shared" si="202"/>
        <v>-133.56683195263494</v>
      </c>
      <c r="OL22" s="6">
        <v>289946.02962999989</v>
      </c>
      <c r="OM22" s="6">
        <f t="shared" si="203"/>
        <v>2000.6276044469992</v>
      </c>
      <c r="ON22" s="6">
        <v>282000.942255</v>
      </c>
      <c r="OO22" s="6">
        <f t="shared" si="204"/>
        <v>1945.8065015595</v>
      </c>
      <c r="OP22" s="6">
        <f t="shared" si="205"/>
        <v>54.821102887499215</v>
      </c>
    </row>
    <row r="23" spans="1:406" x14ac:dyDescent="0.2">
      <c r="A23" s="5">
        <v>46074</v>
      </c>
      <c r="B23" s="10">
        <v>171.87</v>
      </c>
      <c r="C23" s="6">
        <v>76.150000000000006</v>
      </c>
      <c r="D23" s="6">
        <v>190.03</v>
      </c>
      <c r="E23" s="6">
        <v>471.04</v>
      </c>
      <c r="F23" s="6">
        <v>411.23</v>
      </c>
      <c r="G23" s="2">
        <v>2.1299999999999999E-3</v>
      </c>
      <c r="H23" s="6">
        <v>3.5270000000000001</v>
      </c>
      <c r="I23" s="6">
        <v>610.67999999999995</v>
      </c>
      <c r="J23" s="6">
        <v>132.30000000000001</v>
      </c>
      <c r="K23" s="6">
        <v>692.07</v>
      </c>
      <c r="L23" s="6">
        <v>63.69</v>
      </c>
      <c r="M23" s="6">
        <v>315.45</v>
      </c>
      <c r="N23" s="6">
        <v>7.0699999999999999E-3</v>
      </c>
      <c r="O23" s="6">
        <v>84.384</v>
      </c>
      <c r="P23" s="7">
        <v>3.0490000000000001E-5</v>
      </c>
      <c r="R23" s="5">
        <v>46074</v>
      </c>
      <c r="S23" s="6">
        <v>871207.47874513199</v>
      </c>
      <c r="T23" s="6">
        <f t="shared" si="0"/>
        <v>2241.5019828172267</v>
      </c>
      <c r="U23" s="6">
        <v>856965.96644589608</v>
      </c>
      <c r="V23" s="6">
        <f t="shared" si="1"/>
        <v>2204.8604492722743</v>
      </c>
      <c r="W23" s="6">
        <f t="shared" si="2"/>
        <v>4446.3624320895015</v>
      </c>
      <c r="X23" s="6"/>
      <c r="Y23" s="6">
        <f t="shared" si="3"/>
        <v>14241.51229923591</v>
      </c>
      <c r="Z23" s="6">
        <f t="shared" si="4"/>
        <v>36.641533544952466</v>
      </c>
      <c r="AA23" s="6">
        <v>12.77268132</v>
      </c>
      <c r="AB23" s="6">
        <f t="shared" si="5"/>
        <v>2195.2407384684002</v>
      </c>
      <c r="AC23" s="6">
        <v>13.246426319999999</v>
      </c>
      <c r="AD23" s="6">
        <f t="shared" si="6"/>
        <v>2276.6632916183999</v>
      </c>
      <c r="AE23" s="6">
        <f t="shared" si="7"/>
        <v>-81.422553149999857</v>
      </c>
      <c r="AG23" s="5">
        <v>46074</v>
      </c>
      <c r="AH23" s="6">
        <v>871113.23005837691</v>
      </c>
      <c r="AI23" s="6">
        <f t="shared" si="8"/>
        <v>2241.2594933719529</v>
      </c>
      <c r="AJ23" s="6">
        <v>871765.37240129698</v>
      </c>
      <c r="AK23" s="6">
        <f t="shared" si="9"/>
        <v>2242.9373696418402</v>
      </c>
      <c r="AL23" s="6">
        <f t="shared" si="10"/>
        <v>4484.1968630137926</v>
      </c>
      <c r="AM23" s="6"/>
      <c r="AN23" s="6">
        <f t="shared" si="11"/>
        <v>-652.14234292006586</v>
      </c>
      <c r="AO23" s="6">
        <f t="shared" si="12"/>
        <v>-1.677876269886839</v>
      </c>
      <c r="AP23" s="6">
        <v>12.99131613</v>
      </c>
      <c r="AQ23" s="6">
        <f t="shared" si="13"/>
        <v>2232.8175032630998</v>
      </c>
      <c r="AR23" s="6">
        <v>13.246426319999999</v>
      </c>
      <c r="AS23" s="6">
        <f t="shared" si="14"/>
        <v>2276.6632916183999</v>
      </c>
      <c r="AT23" s="6">
        <f t="shared" si="15"/>
        <v>-43.845788355299987</v>
      </c>
      <c r="AV23" s="5">
        <v>46074</v>
      </c>
      <c r="AW23" s="6">
        <v>871050.79657872289</v>
      </c>
      <c r="AX23" s="6">
        <f t="shared" si="16"/>
        <v>2241.0988602600332</v>
      </c>
      <c r="AY23" s="6">
        <v>872429.23072529898</v>
      </c>
      <c r="AZ23" s="6">
        <f t="shared" si="17"/>
        <v>2244.6453895864156</v>
      </c>
      <c r="BA23" s="6">
        <f t="shared" si="18"/>
        <v>4485.7442498464488</v>
      </c>
      <c r="BB23" s="6"/>
      <c r="BC23" s="6">
        <f t="shared" si="206"/>
        <v>-1378.4341465760954</v>
      </c>
      <c r="BD23" s="6">
        <f t="shared" si="19"/>
        <v>-3.5465293263824087</v>
      </c>
      <c r="BE23" s="6">
        <v>29.462398530000002</v>
      </c>
      <c r="BF23" s="6">
        <f t="shared" si="20"/>
        <v>2243.5616480595004</v>
      </c>
      <c r="BG23" s="6">
        <v>29.977901880000001</v>
      </c>
      <c r="BH23" s="6">
        <f t="shared" si="21"/>
        <v>2282.8172281620004</v>
      </c>
      <c r="BI23" s="6">
        <f t="shared" si="22"/>
        <v>-39.255580102499962</v>
      </c>
      <c r="BK23" s="5">
        <v>46074</v>
      </c>
      <c r="BL23" s="6">
        <v>863893.60254508397</v>
      </c>
      <c r="BM23" s="6">
        <f t="shared" si="23"/>
        <v>2222.6843436159415</v>
      </c>
      <c r="BN23" s="6">
        <v>902491.90909574914</v>
      </c>
      <c r="BO23" s="6">
        <f t="shared" si="24"/>
        <v>2321.9926975700673</v>
      </c>
      <c r="BP23" s="6">
        <f t="shared" si="25"/>
        <v>4544.6770411860089</v>
      </c>
      <c r="BQ23" s="6"/>
      <c r="BR23" s="6">
        <f t="shared" si="26"/>
        <v>-38598.306550665176</v>
      </c>
      <c r="BS23" s="6">
        <f t="shared" si="27"/>
        <v>-99.308353954125863</v>
      </c>
      <c r="BT23" s="6">
        <v>30.415905389999999</v>
      </c>
      <c r="BU23" s="6">
        <f t="shared" si="28"/>
        <v>2316.1711954484999</v>
      </c>
      <c r="BV23" s="6">
        <v>29.739569660000001</v>
      </c>
      <c r="BW23" s="6">
        <f t="shared" si="29"/>
        <v>2264.6682296090003</v>
      </c>
      <c r="BX23" s="6">
        <f t="shared" si="30"/>
        <v>51.502965839499865</v>
      </c>
      <c r="BZ23" s="5">
        <v>46074</v>
      </c>
      <c r="CA23" s="6">
        <v>872266.57862491102</v>
      </c>
      <c r="CB23" s="6">
        <f t="shared" si="31"/>
        <v>2244.2269071761702</v>
      </c>
      <c r="CC23" s="6">
        <v>878061.60203950608</v>
      </c>
      <c r="CD23" s="6">
        <f t="shared" si="32"/>
        <v>2259.1367384060363</v>
      </c>
      <c r="CE23" s="6">
        <f t="shared" si="33"/>
        <v>4503.363645582207</v>
      </c>
      <c r="CF23" s="6"/>
      <c r="CG23" s="6">
        <f t="shared" si="34"/>
        <v>-5795.0234145950526</v>
      </c>
      <c r="CH23" s="6">
        <f t="shared" si="35"/>
        <v>-14.909831229866089</v>
      </c>
      <c r="CI23" s="6">
        <v>11.860843620000001</v>
      </c>
      <c r="CJ23" s="6">
        <f t="shared" si="36"/>
        <v>2253.9161131086003</v>
      </c>
      <c r="CK23" s="6">
        <v>12.02005243</v>
      </c>
      <c r="CL23" s="6">
        <f t="shared" si="37"/>
        <v>2284.1705632728999</v>
      </c>
      <c r="CM23" s="6">
        <f t="shared" si="38"/>
        <v>-30.254450164299826</v>
      </c>
      <c r="CO23" s="5">
        <v>46074</v>
      </c>
      <c r="CP23" s="6">
        <v>849835.27483642602</v>
      </c>
      <c r="CQ23" s="6">
        <f t="shared" si="39"/>
        <v>2186.51411987149</v>
      </c>
      <c r="CR23" s="6">
        <v>878061.60203950608</v>
      </c>
      <c r="CS23" s="6">
        <f t="shared" si="40"/>
        <v>2259.1367384060363</v>
      </c>
      <c r="CT23" s="6">
        <f t="shared" si="41"/>
        <v>4445.6508582775259</v>
      </c>
      <c r="CU23" s="6"/>
      <c r="CV23" s="6">
        <f t="shared" si="42"/>
        <v>-28226.327203080058</v>
      </c>
      <c r="CW23" s="6">
        <f t="shared" si="43"/>
        <v>-72.622618534546532</v>
      </c>
      <c r="CX23" s="6">
        <v>11.85998416</v>
      </c>
      <c r="CY23" s="6">
        <f t="shared" si="44"/>
        <v>2253.7527899247998</v>
      </c>
      <c r="CZ23" s="6">
        <v>11.71423223</v>
      </c>
      <c r="DA23" s="6">
        <f t="shared" si="45"/>
        <v>2226.0555506669002</v>
      </c>
      <c r="DB23" s="6">
        <f t="shared" si="46"/>
        <v>27.697239257899891</v>
      </c>
      <c r="DD23" s="5">
        <v>46074</v>
      </c>
      <c r="DE23" s="6">
        <v>871197.19394466898</v>
      </c>
      <c r="DF23" s="6">
        <f t="shared" si="47"/>
        <v>2241.4755213815838</v>
      </c>
      <c r="DG23" s="6">
        <v>882941.75639477489</v>
      </c>
      <c r="DH23" s="6">
        <f t="shared" si="48"/>
        <v>2271.6927321625926</v>
      </c>
      <c r="DI23" s="6">
        <f t="shared" si="49"/>
        <v>4513.168253544176</v>
      </c>
      <c r="DJ23" s="6"/>
      <c r="DK23" s="6">
        <f t="shared" si="50"/>
        <v>-11744.562450105906</v>
      </c>
      <c r="DL23" s="6">
        <f t="shared" si="51"/>
        <v>-30.217210781009079</v>
      </c>
      <c r="DM23" s="6">
        <v>4.8291660399999996</v>
      </c>
      <c r="DN23" s="6">
        <f t="shared" si="52"/>
        <v>2274.7303714815998</v>
      </c>
      <c r="DO23" s="6">
        <v>4.8621998599999996</v>
      </c>
      <c r="DP23" s="6">
        <f t="shared" si="53"/>
        <v>2290.2906220544</v>
      </c>
      <c r="DQ23" s="6">
        <f t="shared" si="54"/>
        <v>-15.560250572799998</v>
      </c>
      <c r="DS23" s="5">
        <v>46074</v>
      </c>
      <c r="DT23" s="6">
        <v>871159.82054755092</v>
      </c>
      <c r="DU23" s="6">
        <f t="shared" si="55"/>
        <v>2241.3793645581077</v>
      </c>
      <c r="DV23" s="6">
        <v>898089.08219536603</v>
      </c>
      <c r="DW23" s="6">
        <f t="shared" si="56"/>
        <v>2310.6648044240806</v>
      </c>
      <c r="DX23" s="6">
        <f t="shared" si="57"/>
        <v>4552.0441689821882</v>
      </c>
      <c r="DY23" s="6"/>
      <c r="DZ23" s="6">
        <f t="shared" si="58"/>
        <v>-26929.261647815118</v>
      </c>
      <c r="EA23" s="6">
        <f t="shared" si="59"/>
        <v>-69.285439865972648</v>
      </c>
      <c r="EB23" s="6">
        <v>4.9129243899999997</v>
      </c>
      <c r="EC23" s="6">
        <f t="shared" si="60"/>
        <v>2314.1839046656</v>
      </c>
      <c r="ED23" s="6">
        <v>4.8621998599999996</v>
      </c>
      <c r="EE23" s="6">
        <f t="shared" si="61"/>
        <v>2290.2906220544</v>
      </c>
      <c r="EF23" s="6">
        <f t="shared" si="62"/>
        <v>23.89328261120005</v>
      </c>
      <c r="EH23" s="5">
        <v>46074</v>
      </c>
      <c r="EI23" s="6">
        <v>2439795.5284301699</v>
      </c>
      <c r="EJ23" s="6">
        <f t="shared" si="63"/>
        <v>6277.2722320083594</v>
      </c>
      <c r="EK23" s="6">
        <v>2446614.9886153592</v>
      </c>
      <c r="EL23" s="6">
        <f t="shared" si="64"/>
        <v>6294.81780398722</v>
      </c>
      <c r="EM23" s="6">
        <f t="shared" si="65"/>
        <v>12572.090035995579</v>
      </c>
      <c r="EN23" s="6"/>
      <c r="EO23" s="6">
        <f t="shared" si="66"/>
        <v>-6819.4601851892658</v>
      </c>
      <c r="EP23" s="6">
        <f t="shared" si="67"/>
        <v>-17.545571978861165</v>
      </c>
      <c r="EQ23" s="6">
        <v>15.376680670000001</v>
      </c>
      <c r="ER23" s="6">
        <f t="shared" si="68"/>
        <v>6323.3523919241006</v>
      </c>
      <c r="ES23" s="6">
        <v>15.39714109</v>
      </c>
      <c r="ET23" s="6">
        <f t="shared" si="69"/>
        <v>6331.7663304407006</v>
      </c>
      <c r="EU23" s="6">
        <f t="shared" si="70"/>
        <v>-8.4139385165996501</v>
      </c>
      <c r="EW23" s="5">
        <v>46074</v>
      </c>
      <c r="EX23" s="6">
        <v>2440875.2540657292</v>
      </c>
      <c r="EY23" s="6">
        <f t="shared" si="71"/>
        <v>6280.0502237176252</v>
      </c>
      <c r="EZ23" s="6">
        <v>2446614.9886153592</v>
      </c>
      <c r="FA23" s="6">
        <f t="shared" si="72"/>
        <v>6294.81780398722</v>
      </c>
      <c r="FB23" s="6">
        <f t="shared" si="73"/>
        <v>12574.868027704844</v>
      </c>
      <c r="FC23" s="6"/>
      <c r="FD23" s="6">
        <f t="shared" si="74"/>
        <v>-5739.7345496299677</v>
      </c>
      <c r="FE23" s="6">
        <f t="shared" si="75"/>
        <v>-14.767580269594884</v>
      </c>
      <c r="FF23" s="6">
        <v>15.36918277</v>
      </c>
      <c r="FG23" s="6">
        <f t="shared" si="76"/>
        <v>6320.2690305071001</v>
      </c>
      <c r="FH23" s="6">
        <v>15.437204700000001</v>
      </c>
      <c r="FI23" s="6">
        <f t="shared" si="77"/>
        <v>6348.2416887810004</v>
      </c>
      <c r="FJ23" s="6">
        <f t="shared" si="78"/>
        <v>-27.972658273900187</v>
      </c>
      <c r="FL23" s="5">
        <v>46074</v>
      </c>
      <c r="FM23" s="6">
        <v>679188.08208935987</v>
      </c>
      <c r="FN23" s="6">
        <f t="shared" si="79"/>
        <v>1747.4613910591804</v>
      </c>
      <c r="FO23" s="6">
        <v>676997.59162027808</v>
      </c>
      <c r="FP23" s="6">
        <f t="shared" si="80"/>
        <v>1741.8255478764966</v>
      </c>
      <c r="FQ23" s="6">
        <f t="shared" si="81"/>
        <v>3489.286938935677</v>
      </c>
      <c r="FR23" s="6"/>
      <c r="FS23" s="6">
        <f t="shared" si="82"/>
        <v>2190.490469081793</v>
      </c>
      <c r="FT23" s="6">
        <f t="shared" si="83"/>
        <v>5.6358431826840096</v>
      </c>
      <c r="FU23" s="6">
        <v>818287.64007099997</v>
      </c>
      <c r="FV23" s="6">
        <f t="shared" si="84"/>
        <v>1742.9526733512298</v>
      </c>
      <c r="FW23" s="6">
        <v>854796.30935399991</v>
      </c>
      <c r="FX23" s="6">
        <f t="shared" si="85"/>
        <v>1820.7161389240198</v>
      </c>
      <c r="FY23" s="6">
        <f t="shared" si="86"/>
        <v>-77.763465572789869</v>
      </c>
      <c r="GA23" s="5">
        <v>46074</v>
      </c>
      <c r="GB23" s="6">
        <v>673559.76024605718</v>
      </c>
      <c r="GC23" s="6">
        <f t="shared" si="87"/>
        <v>1732.9804609943144</v>
      </c>
      <c r="GD23" s="6">
        <v>679694.04770656396</v>
      </c>
      <c r="GE23" s="6">
        <f t="shared" si="88"/>
        <v>1748.7631738857397</v>
      </c>
      <c r="GF23" s="6">
        <f t="shared" si="89"/>
        <v>3481.7436348800538</v>
      </c>
      <c r="GG23" s="6"/>
      <c r="GH23" s="6">
        <f t="shared" si="90"/>
        <v>-6134.2874605067773</v>
      </c>
      <c r="GI23" s="6">
        <f t="shared" si="91"/>
        <v>-15.782712891425147</v>
      </c>
      <c r="GJ23" s="6">
        <v>821487.74683999992</v>
      </c>
      <c r="GK23" s="6">
        <f t="shared" si="92"/>
        <v>1749.7689007691997</v>
      </c>
      <c r="GL23" s="6">
        <v>847709.48987999989</v>
      </c>
      <c r="GM23" s="6">
        <f t="shared" si="93"/>
        <v>1805.6212134443997</v>
      </c>
      <c r="GN23" s="6">
        <f t="shared" si="94"/>
        <v>-55.85231267519994</v>
      </c>
      <c r="GP23" s="5">
        <v>46074</v>
      </c>
      <c r="GQ23" s="6">
        <v>670065.62416842906</v>
      </c>
      <c r="GR23" s="6">
        <f t="shared" si="95"/>
        <v>1723.9905095334775</v>
      </c>
      <c r="GS23" s="6">
        <v>693862.56257374294</v>
      </c>
      <c r="GT23" s="6">
        <f t="shared" si="96"/>
        <v>1785.2168946619911</v>
      </c>
      <c r="GU23" s="6">
        <f t="shared" si="97"/>
        <v>3509.2074041954684</v>
      </c>
      <c r="GV23" s="6"/>
      <c r="GW23" s="6">
        <f t="shared" si="98"/>
        <v>-23796.938405313878</v>
      </c>
      <c r="GX23" s="6">
        <f t="shared" si="99"/>
        <v>-61.226385128513257</v>
      </c>
      <c r="GY23" s="6">
        <v>494.20041600000002</v>
      </c>
      <c r="GZ23" s="6">
        <f t="shared" si="100"/>
        <v>1743.0448672320001</v>
      </c>
      <c r="HA23" s="6">
        <v>496.77206899999987</v>
      </c>
      <c r="HB23" s="6">
        <f t="shared" si="101"/>
        <v>1752.1150873629997</v>
      </c>
      <c r="HC23" s="6">
        <f t="shared" si="207"/>
        <v>-9.0702201309994912</v>
      </c>
      <c r="HE23" s="5">
        <v>46074</v>
      </c>
      <c r="HF23" s="6">
        <v>696812.46040054294</v>
      </c>
      <c r="HG23" s="6">
        <f t="shared" si="102"/>
        <v>1792.8065928558181</v>
      </c>
      <c r="HH23" s="6">
        <v>693862.56257374294</v>
      </c>
      <c r="HI23" s="6">
        <f t="shared" si="103"/>
        <v>1785.2168946619911</v>
      </c>
      <c r="HJ23" s="6">
        <f t="shared" si="104"/>
        <v>3578.0234875178094</v>
      </c>
      <c r="HK23" s="6"/>
      <c r="HL23" s="6">
        <f t="shared" si="105"/>
        <v>2949.8978268000064</v>
      </c>
      <c r="HM23" s="6">
        <f t="shared" si="106"/>
        <v>7.5896981938269317</v>
      </c>
      <c r="HN23" s="6">
        <v>494.16438399999998</v>
      </c>
      <c r="HO23" s="6">
        <f t="shared" si="107"/>
        <v>1742.917782368</v>
      </c>
      <c r="HP23" s="6">
        <v>516.86266599999999</v>
      </c>
      <c r="HQ23" s="6">
        <f t="shared" si="108"/>
        <v>1822.974622982</v>
      </c>
      <c r="HR23" s="6">
        <f t="shared" si="109"/>
        <v>-80.056840614000023</v>
      </c>
      <c r="HT23" s="5">
        <v>46074</v>
      </c>
      <c r="HU23" s="6">
        <v>670169.10457839502</v>
      </c>
      <c r="HV23" s="6">
        <f t="shared" si="110"/>
        <v>1724.2567509854628</v>
      </c>
      <c r="HW23" s="6">
        <v>687265.23190388305</v>
      </c>
      <c r="HX23" s="6">
        <f t="shared" si="111"/>
        <v>1768.242832640517</v>
      </c>
      <c r="HY23" s="6">
        <f t="shared" si="112"/>
        <v>3492.4995836259795</v>
      </c>
      <c r="HZ23" s="6"/>
      <c r="IA23" s="6">
        <f t="shared" si="113"/>
        <v>-17096.127325488022</v>
      </c>
      <c r="IB23" s="6">
        <f t="shared" si="114"/>
        <v>-43.986081655054086</v>
      </c>
      <c r="IC23" s="6">
        <v>2.84810579</v>
      </c>
      <c r="ID23" s="6">
        <f t="shared" si="115"/>
        <v>1739.2812438371998</v>
      </c>
      <c r="IE23" s="6">
        <v>2.8915862799999998</v>
      </c>
      <c r="IF23" s="6">
        <f t="shared" si="116"/>
        <v>1765.8339094703997</v>
      </c>
      <c r="IG23" s="6">
        <f t="shared" si="117"/>
        <v>-26.552665633199918</v>
      </c>
      <c r="II23" s="5">
        <v>46074</v>
      </c>
      <c r="IJ23" s="6">
        <v>672793.22627115098</v>
      </c>
      <c r="IK23" s="6">
        <f t="shared" si="118"/>
        <v>1731.0082701367198</v>
      </c>
      <c r="IL23" s="6">
        <v>683383.49230152112</v>
      </c>
      <c r="IM23" s="6">
        <f t="shared" si="119"/>
        <v>1758.2556284121888</v>
      </c>
      <c r="IN23" s="6">
        <f t="shared" si="120"/>
        <v>3489.2638985489084</v>
      </c>
      <c r="IO23" s="6"/>
      <c r="IP23" s="6">
        <f t="shared" si="121"/>
        <v>-10590.266030370141</v>
      </c>
      <c r="IQ23" s="6">
        <f t="shared" si="122"/>
        <v>-27.247358275468933</v>
      </c>
      <c r="IR23" s="6">
        <v>2.8318317799999999</v>
      </c>
      <c r="IS23" s="6">
        <f t="shared" si="123"/>
        <v>1729.3430314103998</v>
      </c>
      <c r="IT23" s="6">
        <v>2.9030923</v>
      </c>
      <c r="IU23" s="6">
        <f t="shared" si="124"/>
        <v>1772.8604057639998</v>
      </c>
      <c r="IV23" s="6">
        <f t="shared" si="125"/>
        <v>-43.517374353600026</v>
      </c>
      <c r="IX23" s="5">
        <v>46074</v>
      </c>
      <c r="IY23" s="6">
        <v>871048.61761806207</v>
      </c>
      <c r="IZ23" s="6">
        <f t="shared" si="126"/>
        <v>2241.093254081527</v>
      </c>
      <c r="JA23" s="6">
        <v>885269.81869088102</v>
      </c>
      <c r="JB23" s="6">
        <f t="shared" si="127"/>
        <v>2277.6825295187409</v>
      </c>
      <c r="JC23" s="6">
        <f t="shared" si="128"/>
        <v>4518.7757836002675</v>
      </c>
      <c r="JD23" s="6"/>
      <c r="JE23" s="6">
        <f t="shared" si="129"/>
        <v>-14221.201072818949</v>
      </c>
      <c r="JF23" s="6">
        <f t="shared" si="130"/>
        <v>-36.589275437213722</v>
      </c>
      <c r="JG23" s="6">
        <v>17.10409259</v>
      </c>
      <c r="JH23" s="6">
        <f t="shared" si="131"/>
        <v>2262.8714496570001</v>
      </c>
      <c r="JI23" s="6">
        <v>17.170242819999999</v>
      </c>
      <c r="JJ23" s="6">
        <f t="shared" si="132"/>
        <v>2271.6231250860001</v>
      </c>
      <c r="JK23" s="6">
        <f t="shared" si="133"/>
        <v>-8.7516754289997483</v>
      </c>
      <c r="JM23" s="5">
        <v>46074</v>
      </c>
      <c r="JN23" s="6">
        <v>870951.38866523397</v>
      </c>
      <c r="JO23" s="6">
        <f t="shared" si="134"/>
        <v>2240.8430968045654</v>
      </c>
      <c r="JP23" s="6">
        <v>876961.30879184906</v>
      </c>
      <c r="JQ23" s="6">
        <f t="shared" si="135"/>
        <v>2256.3058289424766</v>
      </c>
      <c r="JR23" s="6">
        <f t="shared" si="136"/>
        <v>4497.1489257470421</v>
      </c>
      <c r="JS23" s="6"/>
      <c r="JT23" s="6">
        <f t="shared" si="137"/>
        <v>-6009.9201266150922</v>
      </c>
      <c r="JU23" s="6">
        <f t="shared" si="138"/>
        <v>-15.462732137911139</v>
      </c>
      <c r="JV23" s="6">
        <v>16.942484149999999</v>
      </c>
      <c r="JW23" s="6">
        <f t="shared" si="139"/>
        <v>2241.4906530449998</v>
      </c>
      <c r="JX23" s="6">
        <v>17.170242819999999</v>
      </c>
      <c r="JY23" s="6">
        <f t="shared" si="140"/>
        <v>2271.6231250860001</v>
      </c>
      <c r="JZ23" s="6">
        <f t="shared" si="141"/>
        <v>-30.13247204100001</v>
      </c>
      <c r="KB23" s="5">
        <v>46074</v>
      </c>
      <c r="KC23" s="6">
        <v>871104.207105109</v>
      </c>
      <c r="KD23" s="6">
        <f t="shared" si="142"/>
        <v>2241.2362785027808</v>
      </c>
      <c r="KE23" s="6">
        <v>873978.50132851908</v>
      </c>
      <c r="KF23" s="6">
        <f t="shared" si="143"/>
        <v>2248.6314585926643</v>
      </c>
      <c r="KG23" s="6">
        <f t="shared" si="144"/>
        <v>4489.8677370954447</v>
      </c>
      <c r="KH23" s="6"/>
      <c r="KI23" s="6">
        <f t="shared" si="145"/>
        <v>-2874.2942234100774</v>
      </c>
      <c r="KJ23" s="6">
        <f t="shared" si="146"/>
        <v>-7.3951800898837146</v>
      </c>
      <c r="KK23" s="6">
        <v>3.289932866</v>
      </c>
      <c r="KL23" s="6">
        <f t="shared" si="147"/>
        <v>2276.8638385726204</v>
      </c>
      <c r="KM23" s="6">
        <v>3.3453521730000002</v>
      </c>
      <c r="KN23" s="6">
        <f>KM23*K23</f>
        <v>2315.2178783681102</v>
      </c>
      <c r="KO23" s="6">
        <f t="shared" si="149"/>
        <v>-38.354039795490138</v>
      </c>
      <c r="KQ23" s="5">
        <v>46074</v>
      </c>
      <c r="KR23" s="6">
        <v>871035.60140228097</v>
      </c>
      <c r="KS23" s="6">
        <f t="shared" si="150"/>
        <v>2241.0597650743803</v>
      </c>
      <c r="KT23" s="6">
        <v>872076.89449977386</v>
      </c>
      <c r="KU23" s="6">
        <f t="shared" si="151"/>
        <v>2243.7388749301472</v>
      </c>
      <c r="KV23" s="6">
        <f t="shared" si="152"/>
        <v>4484.7986400045274</v>
      </c>
      <c r="KW23" s="6"/>
      <c r="KX23" s="6">
        <f t="shared" si="153"/>
        <v>-1041.2930974928895</v>
      </c>
      <c r="KY23" s="6">
        <f t="shared" si="154"/>
        <v>-2.6791098557672313</v>
      </c>
      <c r="KZ23" s="6">
        <v>3.2818939020000002</v>
      </c>
      <c r="LA23" s="6">
        <f t="shared" si="155"/>
        <v>2271.3003127571401</v>
      </c>
      <c r="LB23" s="6">
        <v>3.3453521730000002</v>
      </c>
      <c r="LC23" s="6">
        <f t="shared" si="156"/>
        <v>2315.2178783681102</v>
      </c>
      <c r="LD23" s="6">
        <f t="shared" si="157"/>
        <v>-43.917565610970009</v>
      </c>
      <c r="LF23" s="5">
        <v>46074</v>
      </c>
      <c r="LG23" s="6">
        <v>886787.03160465194</v>
      </c>
      <c r="LH23" s="6">
        <f t="shared" si="158"/>
        <v>2281.586118316523</v>
      </c>
      <c r="LI23" s="6">
        <v>879621.55645811814</v>
      </c>
      <c r="LJ23" s="6">
        <f t="shared" si="159"/>
        <v>2263.1502954607345</v>
      </c>
      <c r="LK23" s="6">
        <f t="shared" si="160"/>
        <v>4544.7364137772574</v>
      </c>
      <c r="LL23" s="6"/>
      <c r="LM23" s="6">
        <f t="shared" si="161"/>
        <v>7165.4751465338049</v>
      </c>
      <c r="LN23" s="6">
        <f t="shared" si="162"/>
        <v>18.435822855788164</v>
      </c>
      <c r="LO23" s="6">
        <v>35.460924400000003</v>
      </c>
      <c r="LP23" s="6">
        <f t="shared" si="163"/>
        <v>2258.5062750360003</v>
      </c>
      <c r="LQ23" s="6">
        <v>36.459398530000001</v>
      </c>
      <c r="LR23" s="6">
        <f t="shared" si="164"/>
        <v>2322.0990923756999</v>
      </c>
      <c r="LS23" s="6">
        <f t="shared" si="165"/>
        <v>-63.592817339699884</v>
      </c>
      <c r="LU23" s="5">
        <v>46074</v>
      </c>
      <c r="LV23" s="6">
        <v>891765.81729780009</v>
      </c>
      <c r="LW23" s="6">
        <f t="shared" si="166"/>
        <v>2294.3958775018873</v>
      </c>
      <c r="LX23" s="6">
        <v>879621.55645811814</v>
      </c>
      <c r="LY23" s="6">
        <f t="shared" si="167"/>
        <v>2263.1502954607345</v>
      </c>
      <c r="LZ23" s="6">
        <f t="shared" si="168"/>
        <v>4557.5461729626222</v>
      </c>
      <c r="MA23" s="6"/>
      <c r="MB23" s="6">
        <f t="shared" si="169"/>
        <v>12144.260839681956</v>
      </c>
      <c r="MC23" s="6">
        <f t="shared" si="170"/>
        <v>31.24558204115257</v>
      </c>
      <c r="MD23" s="6">
        <v>35.454784689999997</v>
      </c>
      <c r="ME23" s="6">
        <f t="shared" si="171"/>
        <v>2258.1152369060997</v>
      </c>
      <c r="MF23" s="6">
        <v>36.690269790000002</v>
      </c>
      <c r="MG23" s="6">
        <f t="shared" si="172"/>
        <v>2336.8032829251001</v>
      </c>
      <c r="MH23" s="6">
        <f>(MD23-MF23)*L23</f>
        <v>-78.688046019000339</v>
      </c>
      <c r="MJ23" s="5">
        <v>46074</v>
      </c>
      <c r="MK23" s="6">
        <v>871108.33801045199</v>
      </c>
      <c r="ML23" s="6">
        <f t="shared" si="174"/>
        <v>2241.2469067776096</v>
      </c>
      <c r="MM23" s="6">
        <v>873436.81925109413</v>
      </c>
      <c r="MN23" s="6">
        <f t="shared" si="175"/>
        <v>2247.2377820228153</v>
      </c>
      <c r="MO23" s="6">
        <f t="shared" si="176"/>
        <v>4488.4846888004249</v>
      </c>
      <c r="MP23" s="6"/>
      <c r="MQ23" s="6">
        <f t="shared" si="177"/>
        <v>-2328.4812406421406</v>
      </c>
      <c r="MR23" s="6">
        <f t="shared" si="178"/>
        <v>-5.9908752452054621</v>
      </c>
      <c r="MS23" s="6">
        <v>7.1042433499999991</v>
      </c>
      <c r="MT23" s="6">
        <f t="shared" si="179"/>
        <v>2241.0335647574998</v>
      </c>
      <c r="MU23" s="6">
        <v>7.2272241800000003</v>
      </c>
      <c r="MV23" s="6">
        <f t="shared" si="180"/>
        <v>2279.8278675810002</v>
      </c>
      <c r="MW23" s="6">
        <f t="shared" si="181"/>
        <v>-38.794302823500395</v>
      </c>
      <c r="MY23" s="5">
        <v>46074</v>
      </c>
      <c r="MZ23" s="6">
        <v>870967.32056523999</v>
      </c>
      <c r="NA23" s="6">
        <f t="shared" si="182"/>
        <v>2240.8840874828193</v>
      </c>
      <c r="NB23" s="6">
        <v>886762.63383266097</v>
      </c>
      <c r="NC23" s="6">
        <f t="shared" si="183"/>
        <v>2281.5233460657923</v>
      </c>
      <c r="ND23" s="6">
        <f t="shared" si="184"/>
        <v>4522.4074335486112</v>
      </c>
      <c r="NE23" s="6"/>
      <c r="NF23" s="6">
        <f t="shared" si="185"/>
        <v>-15795.313267420977</v>
      </c>
      <c r="NG23" s="6">
        <f t="shared" si="186"/>
        <v>-40.639258582973</v>
      </c>
      <c r="NH23" s="6">
        <v>7.2090263099999996</v>
      </c>
      <c r="NI23" s="6">
        <f t="shared" si="187"/>
        <v>2274.0873494895</v>
      </c>
      <c r="NJ23" s="6">
        <v>7.2272241800000003</v>
      </c>
      <c r="NK23" s="6">
        <f t="shared" si="188"/>
        <v>2279.8278675810002</v>
      </c>
      <c r="NL23" s="6">
        <f t="shared" si="189"/>
        <v>-5.7405180915002294</v>
      </c>
      <c r="NN23" s="5">
        <v>46074</v>
      </c>
      <c r="NO23" s="6">
        <v>855508.41607859894</v>
      </c>
      <c r="NP23" s="6">
        <f t="shared" si="190"/>
        <v>2201.1103643406591</v>
      </c>
      <c r="NQ23" s="6">
        <v>874526.05171501904</v>
      </c>
      <c r="NR23" s="6">
        <f t="shared" si="191"/>
        <v>2250.0402335480858</v>
      </c>
      <c r="NS23" s="6">
        <f t="shared" si="192"/>
        <v>4451.1505978887453</v>
      </c>
      <c r="NT23" s="6"/>
      <c r="NU23" s="6">
        <f t="shared" si="193"/>
        <v>-19017.635636420106</v>
      </c>
      <c r="NV23" s="6">
        <f t="shared" si="194"/>
        <v>-48.929869207426627</v>
      </c>
      <c r="NW23" s="6">
        <v>323030.97187399998</v>
      </c>
      <c r="NX23" s="6">
        <f t="shared" si="195"/>
        <v>2283.8289711491798</v>
      </c>
      <c r="NY23" s="6">
        <v>328993.63697400002</v>
      </c>
      <c r="NZ23" s="6">
        <f t="shared" si="196"/>
        <v>2325.9850134061803</v>
      </c>
      <c r="OA23" s="6">
        <f t="shared" si="197"/>
        <v>-42.156042257000294</v>
      </c>
      <c r="OC23" s="5">
        <v>46074</v>
      </c>
      <c r="OD23" s="6">
        <v>874633.70122584898</v>
      </c>
      <c r="OE23" s="6">
        <f t="shared" si="198"/>
        <v>2250.3172015469399</v>
      </c>
      <c r="OF23" s="6">
        <v>874526.05171501904</v>
      </c>
      <c r="OG23" s="6">
        <f>OF23*P23*O23</f>
        <v>2250.0402335480858</v>
      </c>
      <c r="OH23" s="6">
        <f t="shared" si="200"/>
        <v>4500.3574350950257</v>
      </c>
      <c r="OI23" s="6"/>
      <c r="OJ23" s="6">
        <f t="shared" si="201"/>
        <v>107.6495108299423</v>
      </c>
      <c r="OK23" s="6">
        <f t="shared" si="202"/>
        <v>0.27696799885393375</v>
      </c>
      <c r="OL23" s="6">
        <v>323011.93673999998</v>
      </c>
      <c r="OM23" s="6">
        <f t="shared" si="203"/>
        <v>2283.6943927517996</v>
      </c>
      <c r="ON23" s="6">
        <v>336386.45661599998</v>
      </c>
      <c r="OO23" s="6">
        <f t="shared" si="204"/>
        <v>2378.2522482751197</v>
      </c>
      <c r="OP23" s="6">
        <f t="shared" si="205"/>
        <v>-94.557855523320043</v>
      </c>
    </row>
    <row r="24" spans="1:406" x14ac:dyDescent="0.2">
      <c r="A24" s="5">
        <v>46075</v>
      </c>
      <c r="B24" s="10">
        <v>170.64</v>
      </c>
      <c r="C24" s="6">
        <v>75.64</v>
      </c>
      <c r="D24" s="6">
        <v>189.32</v>
      </c>
      <c r="E24" s="6">
        <v>469.82</v>
      </c>
      <c r="F24" s="6">
        <v>410.08</v>
      </c>
      <c r="G24" s="2">
        <v>2.0200000000000001E-3</v>
      </c>
      <c r="H24" s="6">
        <v>3.3929999999999998</v>
      </c>
      <c r="I24" s="6">
        <v>609.05999999999995</v>
      </c>
      <c r="J24" s="6">
        <v>131.04</v>
      </c>
      <c r="K24" s="6">
        <v>688.21</v>
      </c>
      <c r="L24" s="6">
        <v>63.27</v>
      </c>
      <c r="M24" s="6">
        <v>314.29000000000002</v>
      </c>
      <c r="N24" s="6">
        <v>6.5799999999999999E-3</v>
      </c>
      <c r="O24" s="6">
        <v>82.754000000000005</v>
      </c>
      <c r="P24" s="7">
        <v>3.0429999999999998E-5</v>
      </c>
      <c r="R24" s="5">
        <v>46075</v>
      </c>
      <c r="S24" s="6">
        <v>692737.15689496032</v>
      </c>
      <c r="T24" s="6">
        <f t="shared" si="0"/>
        <v>1744.453631843691</v>
      </c>
      <c r="U24" s="6">
        <v>779669.86508577107</v>
      </c>
      <c r="V24" s="6">
        <f t="shared" si="1"/>
        <v>1963.3679444658194</v>
      </c>
      <c r="W24" s="6">
        <f t="shared" si="2"/>
        <v>3707.8215763095104</v>
      </c>
      <c r="X24" s="6"/>
      <c r="Y24" s="6">
        <f t="shared" si="3"/>
        <v>-86932.70819081075</v>
      </c>
      <c r="Z24" s="6">
        <f t="shared" si="4"/>
        <v>-218.91431262212819</v>
      </c>
      <c r="AA24" s="6">
        <v>11.552778310000001</v>
      </c>
      <c r="AB24" s="6">
        <f t="shared" si="5"/>
        <v>1971.3660908183999</v>
      </c>
      <c r="AC24" s="6">
        <v>10.4675479</v>
      </c>
      <c r="AD24" s="6">
        <f t="shared" si="6"/>
        <v>1786.1823736559998</v>
      </c>
      <c r="AE24" s="6">
        <f t="shared" si="7"/>
        <v>185.1837171624002</v>
      </c>
      <c r="AG24" s="5">
        <v>46075</v>
      </c>
      <c r="AH24" s="6">
        <v>701149.80346555496</v>
      </c>
      <c r="AI24" s="6">
        <f t="shared" si="8"/>
        <v>1765.6383939391312</v>
      </c>
      <c r="AJ24" s="6">
        <v>768617.33925871202</v>
      </c>
      <c r="AK24" s="6">
        <f t="shared" si="9"/>
        <v>1935.5354272864604</v>
      </c>
      <c r="AL24" s="6">
        <f t="shared" si="10"/>
        <v>3701.1738212255914</v>
      </c>
      <c r="AM24" s="6"/>
      <c r="AN24" s="6">
        <f t="shared" si="11"/>
        <v>-67467.535793157062</v>
      </c>
      <c r="AO24" s="6">
        <f t="shared" si="12"/>
        <v>-169.89703334732914</v>
      </c>
      <c r="AP24" s="6">
        <v>11.38590713</v>
      </c>
      <c r="AQ24" s="6">
        <f t="shared" si="13"/>
        <v>1942.8911926631997</v>
      </c>
      <c r="AR24" s="6">
        <v>10.599822919999999</v>
      </c>
      <c r="AS24" s="6">
        <f t="shared" si="14"/>
        <v>1808.7537830687997</v>
      </c>
      <c r="AT24" s="6">
        <f t="shared" si="15"/>
        <v>134.13740959440003</v>
      </c>
      <c r="AV24" s="5">
        <v>46075</v>
      </c>
      <c r="AW24" s="6">
        <v>691096.75187679694</v>
      </c>
      <c r="AX24" s="6">
        <f t="shared" si="16"/>
        <v>1740.322757004443</v>
      </c>
      <c r="AY24" s="6">
        <v>737272.28152536415</v>
      </c>
      <c r="AZ24" s="6">
        <f t="shared" si="17"/>
        <v>1856.6021706262002</v>
      </c>
      <c r="BA24" s="6">
        <f t="shared" si="18"/>
        <v>3596.9249276306432</v>
      </c>
      <c r="BB24" s="6"/>
      <c r="BC24" s="6">
        <f t="shared" si="206"/>
        <v>-46175.529648567201</v>
      </c>
      <c r="BD24" s="6">
        <f t="shared" si="19"/>
        <v>-116.27941362175703</v>
      </c>
      <c r="BE24" s="6">
        <v>24.679795599999999</v>
      </c>
      <c r="BF24" s="6">
        <f t="shared" si="20"/>
        <v>1866.7797391839999</v>
      </c>
      <c r="BG24" s="6">
        <v>23.588524400000001</v>
      </c>
      <c r="BH24" s="6">
        <f t="shared" si="21"/>
        <v>1784.2359856160001</v>
      </c>
      <c r="BI24" s="6">
        <f t="shared" si="22"/>
        <v>82.543753567999829</v>
      </c>
      <c r="BK24" s="5">
        <v>46075</v>
      </c>
      <c r="BL24" s="6">
        <v>605542.45172009198</v>
      </c>
      <c r="BM24" s="6">
        <f t="shared" si="23"/>
        <v>1524.879557310682</v>
      </c>
      <c r="BN24" s="6">
        <v>664618.74151580804</v>
      </c>
      <c r="BO24" s="6">
        <f t="shared" si="24"/>
        <v>1673.6457195761971</v>
      </c>
      <c r="BP24" s="6">
        <f t="shared" si="25"/>
        <v>3198.5252768868791</v>
      </c>
      <c r="BQ24" s="6"/>
      <c r="BR24" s="6">
        <f t="shared" si="26"/>
        <v>-59076.28979571606</v>
      </c>
      <c r="BS24" s="6">
        <f t="shared" si="27"/>
        <v>-148.76616226551513</v>
      </c>
      <c r="BT24" s="6">
        <v>22.243196269999999</v>
      </c>
      <c r="BU24" s="6">
        <f t="shared" si="28"/>
        <v>1682.4753658627999</v>
      </c>
      <c r="BV24" s="6">
        <v>20.697571969999998</v>
      </c>
      <c r="BW24" s="6">
        <f t="shared" si="29"/>
        <v>1565.5643438108</v>
      </c>
      <c r="BX24" s="6">
        <f t="shared" si="30"/>
        <v>116.91102205200001</v>
      </c>
      <c r="BZ24" s="5">
        <v>46075</v>
      </c>
      <c r="CA24" s="6">
        <v>753847.49255778501</v>
      </c>
      <c r="CB24" s="6">
        <f t="shared" si="31"/>
        <v>1898.3419369954329</v>
      </c>
      <c r="CC24" s="6">
        <v>677766.6000065679</v>
      </c>
      <c r="CD24" s="6">
        <f t="shared" si="32"/>
        <v>1706.7547123115914</v>
      </c>
      <c r="CE24" s="6">
        <f t="shared" si="33"/>
        <v>3605.0966493070246</v>
      </c>
      <c r="CF24" s="6"/>
      <c r="CG24" s="6">
        <f t="shared" si="34"/>
        <v>76080.892551217112</v>
      </c>
      <c r="CH24" s="6">
        <f t="shared" si="35"/>
        <v>191.5872246838415</v>
      </c>
      <c r="CI24" s="6">
        <v>9.1229655300000019</v>
      </c>
      <c r="CJ24" s="6">
        <f t="shared" si="36"/>
        <v>1727.1598341396002</v>
      </c>
      <c r="CK24" s="6">
        <v>10.35300039</v>
      </c>
      <c r="CL24" s="6">
        <f t="shared" si="37"/>
        <v>1960.0300338348</v>
      </c>
      <c r="CM24" s="6">
        <f t="shared" si="38"/>
        <v>-232.87019969519966</v>
      </c>
      <c r="CO24" s="5">
        <v>46075</v>
      </c>
      <c r="CP24" s="6">
        <v>753508.14385768399</v>
      </c>
      <c r="CQ24" s="6">
        <f t="shared" si="39"/>
        <v>1897.4873876667868</v>
      </c>
      <c r="CR24" s="6">
        <v>688399.67251204606</v>
      </c>
      <c r="CS24" s="6">
        <f t="shared" si="40"/>
        <v>1733.5309603664523</v>
      </c>
      <c r="CT24" s="6">
        <f t="shared" si="41"/>
        <v>3631.0183480332389</v>
      </c>
      <c r="CU24" s="6"/>
      <c r="CV24" s="6">
        <f t="shared" si="42"/>
        <v>65108.471345637925</v>
      </c>
      <c r="CW24" s="6">
        <f t="shared" si="43"/>
        <v>163.9564273003345</v>
      </c>
      <c r="CX24" s="6">
        <v>9.2629948399999993</v>
      </c>
      <c r="CY24" s="6">
        <f t="shared" si="44"/>
        <v>1753.6701831087998</v>
      </c>
      <c r="CZ24" s="6">
        <v>10.349703979999999</v>
      </c>
      <c r="DA24" s="6">
        <f t="shared" si="45"/>
        <v>1959.4059574935998</v>
      </c>
      <c r="DB24" s="6">
        <f t="shared" si="46"/>
        <v>-205.73577438479998</v>
      </c>
      <c r="DD24" s="5">
        <v>46075</v>
      </c>
      <c r="DE24" s="6">
        <v>692567.38988426095</v>
      </c>
      <c r="DF24" s="6">
        <f t="shared" si="47"/>
        <v>1744.0261238409312</v>
      </c>
      <c r="DG24" s="6">
        <v>741464.61954682705</v>
      </c>
      <c r="DH24" s="6">
        <f t="shared" si="48"/>
        <v>1867.1593339235144</v>
      </c>
      <c r="DI24" s="6">
        <f t="shared" si="49"/>
        <v>3611.1854577644453</v>
      </c>
      <c r="DJ24" s="6"/>
      <c r="DK24" s="6">
        <f t="shared" si="50"/>
        <v>-48897.229662566097</v>
      </c>
      <c r="DL24" s="6">
        <f t="shared" si="51"/>
        <v>-123.13321008258312</v>
      </c>
      <c r="DM24" s="6">
        <v>4.0376755400000004</v>
      </c>
      <c r="DN24" s="6">
        <f t="shared" si="52"/>
        <v>1896.9807222028001</v>
      </c>
      <c r="DO24" s="6">
        <v>3.8468132499999999</v>
      </c>
      <c r="DP24" s="6">
        <f t="shared" si="53"/>
        <v>1807.3098011149998</v>
      </c>
      <c r="DQ24" s="6">
        <f t="shared" si="54"/>
        <v>89.670921087800252</v>
      </c>
      <c r="DS24" s="5">
        <v>46075</v>
      </c>
      <c r="DT24" s="6">
        <v>708854.78977708099</v>
      </c>
      <c r="DU24" s="6">
        <f t="shared" si="55"/>
        <v>1785.0411229838583</v>
      </c>
      <c r="DV24" s="6">
        <v>758516.57823787699</v>
      </c>
      <c r="DW24" s="6">
        <f t="shared" si="56"/>
        <v>1910.0996482585822</v>
      </c>
      <c r="DX24" s="6">
        <f t="shared" si="57"/>
        <v>3695.1407712424407</v>
      </c>
      <c r="DY24" s="6"/>
      <c r="DZ24" s="6">
        <f t="shared" si="58"/>
        <v>-49661.788460796</v>
      </c>
      <c r="EA24" s="6">
        <f t="shared" si="59"/>
        <v>-125.05852527472381</v>
      </c>
      <c r="EB24" s="6">
        <v>4.1306659000000003</v>
      </c>
      <c r="EC24" s="6">
        <f t="shared" si="60"/>
        <v>1940.6694531380001</v>
      </c>
      <c r="ED24" s="6">
        <v>3.9374316600000001</v>
      </c>
      <c r="EE24" s="6">
        <f>ED24*E24</f>
        <v>1849.8841425012001</v>
      </c>
      <c r="EF24" s="6">
        <f>(EB24-ED24)*E24</f>
        <v>90.785310636800105</v>
      </c>
      <c r="EH24" s="5">
        <v>46075</v>
      </c>
      <c r="EI24" s="6">
        <v>2343710.1098638629</v>
      </c>
      <c r="EJ24" s="6">
        <f t="shared" si="63"/>
        <v>5901.9406891158433</v>
      </c>
      <c r="EK24" s="6">
        <v>2269095.747821257</v>
      </c>
      <c r="EL24" s="6">
        <f t="shared" si="64"/>
        <v>5714.0464877475451</v>
      </c>
      <c r="EM24" s="6">
        <f t="shared" si="65"/>
        <v>11615.987176863389</v>
      </c>
      <c r="EN24" s="6"/>
      <c r="EO24" s="6">
        <f t="shared" si="66"/>
        <v>74614.362042605877</v>
      </c>
      <c r="EP24" s="6">
        <f t="shared" si="67"/>
        <v>187.89420136829793</v>
      </c>
      <c r="EQ24" s="6">
        <v>14.124679069999999</v>
      </c>
      <c r="ER24" s="6">
        <f t="shared" si="68"/>
        <v>5792.2483930255994</v>
      </c>
      <c r="ES24" s="6">
        <v>14.650540680000001</v>
      </c>
      <c r="ET24" s="6">
        <f t="shared" si="69"/>
        <v>6007.8937220544003</v>
      </c>
      <c r="EU24" s="6">
        <f t="shared" si="70"/>
        <v>-215.64532902880063</v>
      </c>
      <c r="EW24" s="5">
        <v>46075</v>
      </c>
      <c r="EX24" s="6">
        <v>2369121.7443756368</v>
      </c>
      <c r="EY24" s="6">
        <f t="shared" si="71"/>
        <v>5965.9323743804898</v>
      </c>
      <c r="EZ24" s="6">
        <v>2309311.9988757391</v>
      </c>
      <c r="FA24" s="6">
        <f t="shared" si="72"/>
        <v>5815.3192208655219</v>
      </c>
      <c r="FB24" s="6">
        <f t="shared" si="73"/>
        <v>11781.251595246013</v>
      </c>
      <c r="FC24" s="6"/>
      <c r="FD24" s="6">
        <f t="shared" si="74"/>
        <v>59809.745499897748</v>
      </c>
      <c r="FE24" s="6">
        <f t="shared" si="75"/>
        <v>150.61315351496853</v>
      </c>
      <c r="FF24" s="6">
        <v>14.34796163</v>
      </c>
      <c r="FG24" s="6">
        <f t="shared" si="76"/>
        <v>5883.8121052303995</v>
      </c>
      <c r="FH24" s="6">
        <v>14.821666820000001</v>
      </c>
      <c r="FI24" s="6">
        <f t="shared" si="77"/>
        <v>6078.0691295455999</v>
      </c>
      <c r="FJ24" s="6">
        <f t="shared" si="78"/>
        <v>-194.25702431520017</v>
      </c>
      <c r="FL24" s="5">
        <v>46075</v>
      </c>
      <c r="FM24" s="6">
        <v>559794.155895003</v>
      </c>
      <c r="FN24" s="6">
        <f t="shared" si="79"/>
        <v>1409.6760057061344</v>
      </c>
      <c r="FO24" s="6">
        <v>519763.51924273802</v>
      </c>
      <c r="FP24" s="6">
        <f t="shared" si="80"/>
        <v>1308.870687559114</v>
      </c>
      <c r="FQ24" s="6">
        <f t="shared" si="81"/>
        <v>2718.5466932652485</v>
      </c>
      <c r="FR24" s="6"/>
      <c r="FS24" s="6">
        <f t="shared" si="82"/>
        <v>40030.636652264977</v>
      </c>
      <c r="FT24" s="6">
        <f t="shared" si="83"/>
        <v>100.80531814702034</v>
      </c>
      <c r="FU24" s="6">
        <v>629959.29311800003</v>
      </c>
      <c r="FV24" s="6">
        <f t="shared" si="84"/>
        <v>1272.5177720983602</v>
      </c>
      <c r="FW24" s="6">
        <v>706387.38217799994</v>
      </c>
      <c r="FX24" s="6">
        <f t="shared" si="85"/>
        <v>1426.9025119995599</v>
      </c>
      <c r="FY24" s="6">
        <f t="shared" si="86"/>
        <v>-154.38473990119982</v>
      </c>
      <c r="GA24" s="5">
        <v>46075</v>
      </c>
      <c r="GB24" s="6">
        <v>594011.58198977006</v>
      </c>
      <c r="GC24" s="6">
        <f t="shared" si="87"/>
        <v>1495.8424724955148</v>
      </c>
      <c r="GD24" s="6">
        <v>540175.116168443</v>
      </c>
      <c r="GE24" s="6">
        <f t="shared" si="88"/>
        <v>1360.2712570743636</v>
      </c>
      <c r="GF24" s="6">
        <f t="shared" si="89"/>
        <v>2856.1137295698782</v>
      </c>
      <c r="GG24" s="6"/>
      <c r="GH24" s="6">
        <f t="shared" si="90"/>
        <v>53836.46582132706</v>
      </c>
      <c r="GI24" s="6">
        <f t="shared" si="91"/>
        <v>135.57121542115158</v>
      </c>
      <c r="GJ24" s="6">
        <v>654679.00848099997</v>
      </c>
      <c r="GK24" s="6">
        <f t="shared" si="92"/>
        <v>1322.45159713162</v>
      </c>
      <c r="GL24" s="6">
        <v>749511.00880299998</v>
      </c>
      <c r="GM24" s="6">
        <f t="shared" si="93"/>
        <v>1514.0122377820601</v>
      </c>
      <c r="GN24" s="6">
        <f t="shared" si="94"/>
        <v>-191.56064065044004</v>
      </c>
      <c r="GP24" s="5">
        <v>46075</v>
      </c>
      <c r="GQ24" s="6">
        <v>599119.04466572602</v>
      </c>
      <c r="GR24" s="6">
        <f t="shared" si="95"/>
        <v>1508.7041065595997</v>
      </c>
      <c r="GS24" s="6">
        <v>546298.75965460099</v>
      </c>
      <c r="GT24" s="6">
        <f t="shared" si="96"/>
        <v>1375.6918419429821</v>
      </c>
      <c r="GU24" s="6">
        <f t="shared" si="97"/>
        <v>2884.3959485025816</v>
      </c>
      <c r="GV24" s="6"/>
      <c r="GW24" s="6">
        <f t="shared" si="98"/>
        <v>52820.28501112503</v>
      </c>
      <c r="GX24" s="6">
        <f t="shared" si="99"/>
        <v>133.01226461661781</v>
      </c>
      <c r="GY24" s="6">
        <v>396.78547300000002</v>
      </c>
      <c r="GZ24" s="6">
        <f t="shared" si="100"/>
        <v>1346.2931098890001</v>
      </c>
      <c r="HA24" s="6">
        <v>452.93038799999999</v>
      </c>
      <c r="HB24" s="6">
        <f t="shared" si="101"/>
        <v>1536.7928064839998</v>
      </c>
      <c r="HC24" s="6">
        <f t="shared" si="207"/>
        <v>-190.49969659499988</v>
      </c>
      <c r="HE24" s="5">
        <v>46075</v>
      </c>
      <c r="HF24" s="6">
        <v>599842.18697643303</v>
      </c>
      <c r="HG24" s="6">
        <f t="shared" si="102"/>
        <v>1510.5251265780826</v>
      </c>
      <c r="HH24" s="6">
        <v>570568.81200005498</v>
      </c>
      <c r="HI24" s="6">
        <f t="shared" si="103"/>
        <v>1436.8087901789252</v>
      </c>
      <c r="HJ24" s="6">
        <f t="shared" si="104"/>
        <v>2947.3339167570075</v>
      </c>
      <c r="HK24" s="6"/>
      <c r="HL24" s="6">
        <f t="shared" si="105"/>
        <v>29273.374976378051</v>
      </c>
      <c r="HM24" s="6">
        <f t="shared" si="106"/>
        <v>73.716336399157612</v>
      </c>
      <c r="HN24" s="6">
        <v>414.438759</v>
      </c>
      <c r="HO24" s="6">
        <f t="shared" si="107"/>
        <v>1406.1907092869999</v>
      </c>
      <c r="HP24" s="6">
        <v>453.55730499999987</v>
      </c>
      <c r="HQ24" s="6">
        <f t="shared" si="108"/>
        <v>1538.9199358649994</v>
      </c>
      <c r="HR24" s="6">
        <f t="shared" si="109"/>
        <v>-132.72922657799955</v>
      </c>
      <c r="HT24" s="5">
        <v>46075</v>
      </c>
      <c r="HU24" s="6">
        <v>528453.6625685601</v>
      </c>
      <c r="HV24" s="6">
        <f t="shared" si="110"/>
        <v>1330.754243154604</v>
      </c>
      <c r="HW24" s="6">
        <v>578113.49283270212</v>
      </c>
      <c r="HX24" s="6">
        <f t="shared" si="111"/>
        <v>1455.8078372902503</v>
      </c>
      <c r="HY24" s="6">
        <f t="shared" si="112"/>
        <v>2786.5620804448545</v>
      </c>
      <c r="HZ24" s="6"/>
      <c r="IA24" s="6">
        <f t="shared" si="113"/>
        <v>-49659.830264142016</v>
      </c>
      <c r="IB24" s="6">
        <f t="shared" si="114"/>
        <v>-125.05359413564615</v>
      </c>
      <c r="IC24" s="6">
        <v>2.3897083000000001</v>
      </c>
      <c r="ID24" s="6">
        <f t="shared" si="115"/>
        <v>1455.4757371979999</v>
      </c>
      <c r="IE24" s="6">
        <v>2.2741371099999999</v>
      </c>
      <c r="IF24" s="6">
        <f t="shared" si="116"/>
        <v>1385.0859482165997</v>
      </c>
      <c r="IG24" s="6">
        <f t="shared" si="117"/>
        <v>70.389788981400159</v>
      </c>
      <c r="II24" s="5">
        <v>46075</v>
      </c>
      <c r="IJ24" s="6">
        <v>512202.06529888499</v>
      </c>
      <c r="IK24" s="6">
        <f t="shared" si="118"/>
        <v>1289.8294023283677</v>
      </c>
      <c r="IL24" s="6">
        <v>576326.47886310413</v>
      </c>
      <c r="IM24" s="6">
        <f t="shared" si="119"/>
        <v>1451.3077711708097</v>
      </c>
      <c r="IN24" s="6">
        <f t="shared" si="120"/>
        <v>2741.1371734991772</v>
      </c>
      <c r="IO24" s="6"/>
      <c r="IP24" s="6">
        <f t="shared" si="121"/>
        <v>-64124.41356421914</v>
      </c>
      <c r="IQ24" s="6">
        <f t="shared" si="122"/>
        <v>-161.47836884244188</v>
      </c>
      <c r="IR24" s="6">
        <v>2.3821246700000001</v>
      </c>
      <c r="IS24" s="6">
        <f t="shared" si="123"/>
        <v>1450.8568515101999</v>
      </c>
      <c r="IT24" s="6">
        <v>2.20442282</v>
      </c>
      <c r="IU24" s="6">
        <f t="shared" si="124"/>
        <v>1342.6257627491998</v>
      </c>
      <c r="IV24" s="6">
        <f t="shared" si="125"/>
        <v>108.23108876100002</v>
      </c>
      <c r="IX24" s="5">
        <v>46075</v>
      </c>
      <c r="IY24" s="6">
        <v>701419.22844852193</v>
      </c>
      <c r="IZ24" s="6">
        <f t="shared" si="126"/>
        <v>1766.3168610682119</v>
      </c>
      <c r="JA24" s="6">
        <v>757758.30390575202</v>
      </c>
      <c r="JB24" s="6">
        <f t="shared" si="127"/>
        <v>1908.190158635507</v>
      </c>
      <c r="JC24" s="6">
        <f t="shared" si="128"/>
        <v>3674.5070197037189</v>
      </c>
      <c r="JD24" s="6"/>
      <c r="JE24" s="6">
        <f t="shared" si="129"/>
        <v>-56339.075457230094</v>
      </c>
      <c r="JF24" s="6">
        <f t="shared" si="130"/>
        <v>-141.87329756729525</v>
      </c>
      <c r="JG24" s="6">
        <v>14.604037419999999</v>
      </c>
      <c r="JH24" s="6">
        <f t="shared" si="131"/>
        <v>1913.7130635167998</v>
      </c>
      <c r="JI24" s="6">
        <v>13.78551285</v>
      </c>
      <c r="JJ24" s="6">
        <f t="shared" si="132"/>
        <v>1806.4536038639999</v>
      </c>
      <c r="JK24" s="6">
        <f t="shared" si="133"/>
        <v>107.25945965279989</v>
      </c>
      <c r="JM24" s="5">
        <v>46075</v>
      </c>
      <c r="JN24" s="6">
        <v>690103.28926144412</v>
      </c>
      <c r="JO24" s="6">
        <f t="shared" si="134"/>
        <v>1737.8210152540491</v>
      </c>
      <c r="JP24" s="6">
        <v>739422.36131585995</v>
      </c>
      <c r="JQ24" s="6">
        <f t="shared" si="135"/>
        <v>1862.0165106279635</v>
      </c>
      <c r="JR24" s="6">
        <f t="shared" si="136"/>
        <v>3599.8375258820124</v>
      </c>
      <c r="JS24" s="6"/>
      <c r="JT24" s="6">
        <f t="shared" si="137"/>
        <v>-49319.072054415825</v>
      </c>
      <c r="JU24" s="6">
        <f t="shared" si="138"/>
        <v>-124.195495373914</v>
      </c>
      <c r="JV24" s="6">
        <v>14.24738187</v>
      </c>
      <c r="JW24" s="6">
        <f t="shared" si="139"/>
        <v>1866.9769202447999</v>
      </c>
      <c r="JX24" s="6">
        <v>13.57048225</v>
      </c>
      <c r="JY24" s="6">
        <f t="shared" si="140"/>
        <v>1778.2759940399999</v>
      </c>
      <c r="JZ24" s="6">
        <f t="shared" si="141"/>
        <v>88.700926204800041</v>
      </c>
      <c r="KB24" s="5">
        <v>46075</v>
      </c>
      <c r="KC24" s="6">
        <v>671004.36773210415</v>
      </c>
      <c r="KD24" s="6">
        <f t="shared" si="142"/>
        <v>1689.7260304614165</v>
      </c>
      <c r="KE24" s="6">
        <v>736163.44076379389</v>
      </c>
      <c r="KF24" s="6">
        <f t="shared" si="143"/>
        <v>1853.809883141106</v>
      </c>
      <c r="KG24" s="6">
        <f t="shared" si="144"/>
        <v>3543.5359136025227</v>
      </c>
      <c r="KH24" s="6"/>
      <c r="KI24" s="6">
        <f t="shared" si="145"/>
        <v>-65159.073031689739</v>
      </c>
      <c r="KJ24" s="6">
        <f t="shared" si="146"/>
        <v>-164.08385267968927</v>
      </c>
      <c r="KK24" s="6">
        <v>2.7627689750000002</v>
      </c>
      <c r="KL24" s="6">
        <f t="shared" si="147"/>
        <v>1901.3652362847502</v>
      </c>
      <c r="KM24" s="6">
        <v>2.5681309620000001</v>
      </c>
      <c r="KN24" s="6">
        <f t="shared" si="148"/>
        <v>1767.4134093580201</v>
      </c>
      <c r="KO24" s="6">
        <f t="shared" si="149"/>
        <v>133.95182692673004</v>
      </c>
      <c r="KQ24" s="5">
        <v>46075</v>
      </c>
      <c r="KR24" s="6">
        <v>687990.47703948407</v>
      </c>
      <c r="KS24" s="6">
        <f t="shared" si="150"/>
        <v>1732.5005226006417</v>
      </c>
      <c r="KT24" s="6">
        <v>754633.43104220508</v>
      </c>
      <c r="KU24" s="6">
        <f t="shared" si="151"/>
        <v>1900.3210906035597</v>
      </c>
      <c r="KV24" s="6">
        <f t="shared" si="152"/>
        <v>3632.8216132042016</v>
      </c>
      <c r="KW24" s="6"/>
      <c r="KX24" s="6">
        <f t="shared" si="153"/>
        <v>-66642.954002721002</v>
      </c>
      <c r="KY24" s="6">
        <f t="shared" si="154"/>
        <v>-167.8205680029179</v>
      </c>
      <c r="KZ24" s="6">
        <v>2.8322818970000001</v>
      </c>
      <c r="LA24" s="6">
        <f t="shared" si="155"/>
        <v>1949.2047243343702</v>
      </c>
      <c r="LB24" s="6">
        <v>2.6340105340000002</v>
      </c>
      <c r="LC24" s="6">
        <f>LB24*K24</f>
        <v>1812.7523896041403</v>
      </c>
      <c r="LD24" s="6">
        <f t="shared" si="157"/>
        <v>136.45233473022995</v>
      </c>
      <c r="LF24" s="5">
        <v>46075</v>
      </c>
      <c r="LG24" s="6">
        <v>725986.61714425392</v>
      </c>
      <c r="LH24" s="6">
        <f t="shared" si="158"/>
        <v>1828.1825629561845</v>
      </c>
      <c r="LI24" s="6">
        <v>698608.98937921692</v>
      </c>
      <c r="LJ24" s="6">
        <f t="shared" si="159"/>
        <v>1759.2401051846791</v>
      </c>
      <c r="LK24" s="6">
        <f t="shared" si="160"/>
        <v>3587.4226681408636</v>
      </c>
      <c r="LL24" s="6"/>
      <c r="LM24" s="6">
        <f t="shared" si="161"/>
        <v>27377.627765037003</v>
      </c>
      <c r="LN24" s="6">
        <f t="shared" si="162"/>
        <v>68.942457771505346</v>
      </c>
      <c r="LO24" s="6">
        <v>28.138213409999999</v>
      </c>
      <c r="LP24" s="6">
        <f t="shared" si="163"/>
        <v>1780.3047624507001</v>
      </c>
      <c r="LQ24" s="6">
        <v>29.8383976</v>
      </c>
      <c r="LR24" s="6">
        <f t="shared" si="164"/>
        <v>1887.8754161520001</v>
      </c>
      <c r="LS24" s="6">
        <f t="shared" si="165"/>
        <v>-107.57065370130012</v>
      </c>
      <c r="LU24" s="5">
        <v>46075</v>
      </c>
      <c r="LV24" s="6">
        <v>711178.44340935396</v>
      </c>
      <c r="LW24" s="6">
        <f t="shared" si="166"/>
        <v>1790.8925573664665</v>
      </c>
      <c r="LX24" s="6">
        <v>666871.66606242093</v>
      </c>
      <c r="LY24" s="6">
        <f t="shared" si="167"/>
        <v>1679.3190436768193</v>
      </c>
      <c r="LZ24" s="6">
        <f t="shared" si="168"/>
        <v>3470.2116010432856</v>
      </c>
      <c r="MA24" s="6"/>
      <c r="MB24" s="6">
        <f t="shared" si="169"/>
        <v>44306.777346933028</v>
      </c>
      <c r="MC24" s="6">
        <f t="shared" si="170"/>
        <v>111.57351368964714</v>
      </c>
      <c r="MD24" s="6">
        <v>26.85955856</v>
      </c>
      <c r="ME24" s="6">
        <f t="shared" si="171"/>
        <v>1699.4042700912</v>
      </c>
      <c r="MF24" s="6">
        <v>29.234521730000001</v>
      </c>
      <c r="MG24" s="6">
        <f t="shared" si="172"/>
        <v>1849.6681898571001</v>
      </c>
      <c r="MH24" s="6">
        <f t="shared" si="173"/>
        <v>-150.26391976590006</v>
      </c>
      <c r="MJ24" s="5">
        <v>46075</v>
      </c>
      <c r="MK24" s="6">
        <v>649715.64799011301</v>
      </c>
      <c r="ML24" s="6">
        <f t="shared" si="174"/>
        <v>1636.1166865687371</v>
      </c>
      <c r="MM24" s="6">
        <v>729951.22545199213</v>
      </c>
      <c r="MN24" s="6">
        <f t="shared" si="175"/>
        <v>1838.1662563273781</v>
      </c>
      <c r="MO24" s="6">
        <f t="shared" si="176"/>
        <v>3474.2829428961149</v>
      </c>
      <c r="MP24" s="6"/>
      <c r="MQ24" s="6">
        <f t="shared" si="177"/>
        <v>-80235.577461879118</v>
      </c>
      <c r="MR24" s="6">
        <f t="shared" si="178"/>
        <v>-202.0495697586409</v>
      </c>
      <c r="MS24" s="6">
        <v>5.89264235</v>
      </c>
      <c r="MT24" s="6">
        <f t="shared" si="179"/>
        <v>1851.9985641815001</v>
      </c>
      <c r="MU24" s="6">
        <v>5.3502583700000006</v>
      </c>
      <c r="MV24" s="6">
        <f t="shared" si="180"/>
        <v>1681.5327031073002</v>
      </c>
      <c r="MW24" s="6">
        <f t="shared" si="181"/>
        <v>170.46586107419984</v>
      </c>
      <c r="MY24" s="5">
        <v>46075</v>
      </c>
      <c r="MZ24" s="6">
        <v>678055.60847020999</v>
      </c>
      <c r="NA24" s="6">
        <f t="shared" si="182"/>
        <v>1707.4824946443505</v>
      </c>
      <c r="NB24" s="6">
        <v>744665.73424444604</v>
      </c>
      <c r="NC24" s="6">
        <f t="shared" si="183"/>
        <v>1875.2203944637627</v>
      </c>
      <c r="ND24" s="6">
        <f t="shared" si="184"/>
        <v>3582.7028891081131</v>
      </c>
      <c r="NE24" s="6"/>
      <c r="NF24" s="6">
        <f t="shared" si="185"/>
        <v>-66610.125774236047</v>
      </c>
      <c r="NG24" s="6">
        <f t="shared" si="186"/>
        <v>-167.73789981941198</v>
      </c>
      <c r="NH24" s="6">
        <v>6.0117308500000002</v>
      </c>
      <c r="NI24" s="6">
        <f t="shared" si="187"/>
        <v>1889.4268888465001</v>
      </c>
      <c r="NJ24" s="6">
        <v>5.5862117299999996</v>
      </c>
      <c r="NK24" s="6">
        <f t="shared" si="188"/>
        <v>1755.6904846217001</v>
      </c>
      <c r="NL24" s="6">
        <f t="shared" si="189"/>
        <v>133.7364042248002</v>
      </c>
      <c r="NN24" s="5">
        <v>46075</v>
      </c>
      <c r="NO24" s="6">
        <v>730150.64043697203</v>
      </c>
      <c r="NP24" s="6">
        <f t="shared" si="190"/>
        <v>1838.6684239840858</v>
      </c>
      <c r="NQ24" s="6">
        <v>699354.77071691793</v>
      </c>
      <c r="NR24" s="6">
        <f t="shared" si="191"/>
        <v>1761.1181348964751</v>
      </c>
      <c r="NS24" s="6">
        <f t="shared" si="192"/>
        <v>3599.7865588805607</v>
      </c>
      <c r="NT24" s="6"/>
      <c r="NU24" s="6">
        <f t="shared" si="193"/>
        <v>30795.869720054092</v>
      </c>
      <c r="NV24" s="6">
        <f t="shared" si="194"/>
        <v>77.550289087610423</v>
      </c>
      <c r="NW24" s="6">
        <v>259456.65783499999</v>
      </c>
      <c r="NX24" s="6">
        <f t="shared" si="195"/>
        <v>1707.2248085542999</v>
      </c>
      <c r="NY24" s="6">
        <v>281896.11378900008</v>
      </c>
      <c r="NZ24" s="6">
        <f t="shared" si="196"/>
        <v>1854.8764287316205</v>
      </c>
      <c r="OA24" s="6">
        <f t="shared" si="197"/>
        <v>-147.65162017732061</v>
      </c>
      <c r="OC24" s="5">
        <v>46075</v>
      </c>
      <c r="OD24" s="6">
        <v>727217.87503862206</v>
      </c>
      <c r="OE24" s="6">
        <f t="shared" si="198"/>
        <v>1831.2831217816909</v>
      </c>
      <c r="OF24" s="6">
        <v>713398.35500815115</v>
      </c>
      <c r="OG24" s="6">
        <f t="shared" si="199"/>
        <v>1796.4827481225843</v>
      </c>
      <c r="OH24" s="6">
        <f t="shared" si="200"/>
        <v>3627.765869904275</v>
      </c>
      <c r="OI24" s="6"/>
      <c r="OJ24" s="6">
        <f t="shared" si="201"/>
        <v>13819.520030470914</v>
      </c>
      <c r="OK24" s="6">
        <f t="shared" si="202"/>
        <v>34.800373659106384</v>
      </c>
      <c r="OL24" s="6">
        <v>264690.91733600001</v>
      </c>
      <c r="OM24" s="6">
        <f t="shared" si="203"/>
        <v>1741.6662360708801</v>
      </c>
      <c r="ON24" s="6">
        <v>280801.39651200001</v>
      </c>
      <c r="OO24" s="6">
        <f t="shared" si="204"/>
        <v>1847.67318904896</v>
      </c>
      <c r="OP24" s="6">
        <f t="shared" si="205"/>
        <v>-106.00695297807995</v>
      </c>
    </row>
    <row r="25" spans="1:406" x14ac:dyDescent="0.2">
      <c r="A25" s="5">
        <v>46076</v>
      </c>
      <c r="B25" s="10">
        <v>160.22999999999999</v>
      </c>
      <c r="C25" s="6">
        <v>72.03</v>
      </c>
      <c r="D25" s="6">
        <v>191.7</v>
      </c>
      <c r="E25" s="6">
        <v>480.75</v>
      </c>
      <c r="F25" s="6">
        <v>399.2</v>
      </c>
      <c r="G25" s="2">
        <v>1.7899999999999999E-3</v>
      </c>
      <c r="H25" s="6">
        <v>3.3079999999999998</v>
      </c>
      <c r="I25" s="6">
        <v>603.08000000000004</v>
      </c>
      <c r="J25" s="6">
        <v>124.22</v>
      </c>
      <c r="K25" s="6">
        <v>684.11</v>
      </c>
      <c r="L25" s="6">
        <v>61.16</v>
      </c>
      <c r="M25" s="6">
        <v>313.22000000000003</v>
      </c>
      <c r="N25" s="6">
        <v>6.3200000000000001E-3</v>
      </c>
      <c r="O25" s="6">
        <v>77.891999999999996</v>
      </c>
      <c r="P25" s="7">
        <v>3.1359999999999998E-5</v>
      </c>
      <c r="R25" s="5">
        <v>46076</v>
      </c>
      <c r="S25" s="6">
        <v>599184.04980343301</v>
      </c>
      <c r="T25" s="6">
        <f t="shared" si="0"/>
        <v>1463.6227560685829</v>
      </c>
      <c r="U25" s="6">
        <v>534256.81452511495</v>
      </c>
      <c r="V25" s="6">
        <f t="shared" si="1"/>
        <v>1305.0254451536141</v>
      </c>
      <c r="W25" s="6">
        <f t="shared" si="2"/>
        <v>2768.6482012221968</v>
      </c>
      <c r="X25" s="6"/>
      <c r="Y25" s="6">
        <f t="shared" si="3"/>
        <v>64927.235278318054</v>
      </c>
      <c r="Z25" s="6">
        <f t="shared" si="4"/>
        <v>158.5973109149688</v>
      </c>
      <c r="AA25" s="6">
        <v>7.9886051699999996</v>
      </c>
      <c r="AB25" s="6">
        <f t="shared" si="5"/>
        <v>1280.0142063890999</v>
      </c>
      <c r="AC25" s="6">
        <v>9.1299613700000002</v>
      </c>
      <c r="AD25" s="6">
        <f t="shared" si="6"/>
        <v>1462.8937103151</v>
      </c>
      <c r="AE25" s="6">
        <f t="shared" si="7"/>
        <v>-182.8795039260001</v>
      </c>
      <c r="AG25" s="5">
        <v>46076</v>
      </c>
      <c r="AH25" s="6">
        <v>578514.78253797709</v>
      </c>
      <c r="AI25" s="6">
        <f t="shared" si="8"/>
        <v>1413.1340791238126</v>
      </c>
      <c r="AJ25" s="6">
        <v>523499.6109067651</v>
      </c>
      <c r="AK25" s="6">
        <f t="shared" si="9"/>
        <v>1278.7488978846318</v>
      </c>
      <c r="AL25" s="6">
        <f t="shared" si="10"/>
        <v>2691.8829770084444</v>
      </c>
      <c r="AM25" s="6"/>
      <c r="AN25" s="6">
        <f t="shared" si="11"/>
        <v>55015.171631211997</v>
      </c>
      <c r="AO25" s="6">
        <f t="shared" si="12"/>
        <v>134.38518123918072</v>
      </c>
      <c r="AP25" s="6">
        <v>7.8198276999999994</v>
      </c>
      <c r="AQ25" s="6">
        <f t="shared" si="13"/>
        <v>1252.9709923709997</v>
      </c>
      <c r="AR25" s="6">
        <v>8.8193284299999988</v>
      </c>
      <c r="AS25" s="6">
        <f t="shared" si="14"/>
        <v>1413.1209943388997</v>
      </c>
      <c r="AT25" s="6">
        <f t="shared" si="15"/>
        <v>-160.1500019678999</v>
      </c>
      <c r="AV25" s="5">
        <v>46076</v>
      </c>
      <c r="AW25" s="6">
        <v>556805.68106171605</v>
      </c>
      <c r="AX25" s="6">
        <f t="shared" si="16"/>
        <v>1360.105406306368</v>
      </c>
      <c r="AY25" s="6">
        <v>512311.34940093901</v>
      </c>
      <c r="AZ25" s="6">
        <f t="shared" si="17"/>
        <v>1251.4194084795897</v>
      </c>
      <c r="BA25" s="6">
        <f t="shared" si="18"/>
        <v>2611.5248147859575</v>
      </c>
      <c r="BB25" s="6"/>
      <c r="BC25" s="6">
        <f t="shared" si="206"/>
        <v>44494.331660777039</v>
      </c>
      <c r="BD25" s="6">
        <f t="shared" si="19"/>
        <v>108.68599782677823</v>
      </c>
      <c r="BE25" s="6">
        <v>17.255197920000001</v>
      </c>
      <c r="BF25" s="6">
        <f t="shared" si="20"/>
        <v>1242.8919061776</v>
      </c>
      <c r="BG25" s="6">
        <v>19.127666319999999</v>
      </c>
      <c r="BH25" s="6">
        <f t="shared" si="21"/>
        <v>1377.7658050296</v>
      </c>
      <c r="BI25" s="6">
        <f t="shared" si="22"/>
        <v>-134.87389885199991</v>
      </c>
      <c r="BK25" s="5">
        <v>46076</v>
      </c>
      <c r="BL25" s="6">
        <v>95293.807354585995</v>
      </c>
      <c r="BM25" s="6">
        <f t="shared" si="23"/>
        <v>232.77352760365258</v>
      </c>
      <c r="BN25" s="6">
        <v>19091.327558548001</v>
      </c>
      <c r="BO25" s="6">
        <f t="shared" si="24"/>
        <v>46.634254478931595</v>
      </c>
      <c r="BP25" s="6">
        <f t="shared" si="25"/>
        <v>279.40778208258416</v>
      </c>
      <c r="BQ25" s="6"/>
      <c r="BR25" s="6">
        <f t="shared" si="26"/>
        <v>76202.479796037995</v>
      </c>
      <c r="BS25" s="6">
        <f t="shared" si="27"/>
        <v>186.139273124721</v>
      </c>
      <c r="BT25" s="6">
        <v>0.63893717999999999</v>
      </c>
      <c r="BU25" s="6">
        <f t="shared" si="28"/>
        <v>46.0226450754</v>
      </c>
      <c r="BV25" s="6">
        <v>3.2477300900000001</v>
      </c>
      <c r="BW25" s="6">
        <f t="shared" si="29"/>
        <v>233.93399838270003</v>
      </c>
      <c r="BX25" s="6">
        <f t="shared" si="30"/>
        <v>-187.9113533073</v>
      </c>
      <c r="BZ25" s="5">
        <v>46076</v>
      </c>
      <c r="CA25" s="6">
        <v>509297.83890360489</v>
      </c>
      <c r="CB25" s="6">
        <f t="shared" si="31"/>
        <v>1244.0583271207038</v>
      </c>
      <c r="CC25" s="6">
        <v>577050.26541307499</v>
      </c>
      <c r="CD25" s="6">
        <f t="shared" si="32"/>
        <v>1409.5567132186923</v>
      </c>
      <c r="CE25" s="6">
        <f t="shared" si="33"/>
        <v>2653.6150403393958</v>
      </c>
      <c r="CF25" s="6"/>
      <c r="CG25" s="6">
        <f t="shared" si="34"/>
        <v>-67752.426509470097</v>
      </c>
      <c r="CH25" s="6">
        <f t="shared" si="35"/>
        <v>-165.4983860979882</v>
      </c>
      <c r="CI25" s="6">
        <v>7.5458691499999997</v>
      </c>
      <c r="CJ25" s="6">
        <f t="shared" si="36"/>
        <v>1446.5431160549999</v>
      </c>
      <c r="CK25" s="6">
        <v>6.7893100200000003</v>
      </c>
      <c r="CL25" s="6">
        <f t="shared" si="37"/>
        <v>1301.510730834</v>
      </c>
      <c r="CM25" s="6">
        <f t="shared" si="38"/>
        <v>145.03238522099988</v>
      </c>
      <c r="CO25" s="5">
        <v>46076</v>
      </c>
      <c r="CP25" s="6">
        <v>503789.63349137601</v>
      </c>
      <c r="CQ25" s="6">
        <f t="shared" si="39"/>
        <v>1230.6034716567056</v>
      </c>
      <c r="CR25" s="6">
        <v>577161.31790162693</v>
      </c>
      <c r="CS25" s="6">
        <f t="shared" si="40"/>
        <v>1409.8279803684368</v>
      </c>
      <c r="CT25" s="6">
        <f t="shared" si="41"/>
        <v>2640.4314520251423</v>
      </c>
      <c r="CU25" s="6"/>
      <c r="CV25" s="6">
        <f t="shared" si="42"/>
        <v>-73371.68441025092</v>
      </c>
      <c r="CW25" s="6">
        <f t="shared" si="43"/>
        <v>-179.22450871173118</v>
      </c>
      <c r="CX25" s="6">
        <v>7.5465755999999997</v>
      </c>
      <c r="CY25" s="6">
        <f t="shared" si="44"/>
        <v>1446.6785425199998</v>
      </c>
      <c r="CZ25" s="6">
        <v>6.7175270300000003</v>
      </c>
      <c r="DA25" s="6">
        <f t="shared" si="45"/>
        <v>1287.749931651</v>
      </c>
      <c r="DB25" s="6">
        <f t="shared" si="46"/>
        <v>158.92861086899987</v>
      </c>
      <c r="DD25" s="5">
        <v>46076</v>
      </c>
      <c r="DE25" s="6">
        <v>568755.36476351204</v>
      </c>
      <c r="DF25" s="6">
        <f t="shared" si="47"/>
        <v>1389.294816470921</v>
      </c>
      <c r="DG25" s="6">
        <v>519276.98962880898</v>
      </c>
      <c r="DH25" s="6">
        <f t="shared" si="48"/>
        <v>1268.434329940603</v>
      </c>
      <c r="DI25" s="6">
        <f t="shared" si="49"/>
        <v>2657.7291464115242</v>
      </c>
      <c r="DJ25" s="6"/>
      <c r="DK25" s="6">
        <f t="shared" si="50"/>
        <v>49478.375134703063</v>
      </c>
      <c r="DL25" s="6">
        <f t="shared" si="51"/>
        <v>120.86048653031823</v>
      </c>
      <c r="DM25" s="6">
        <v>2.7103419200000012</v>
      </c>
      <c r="DN25" s="6">
        <f t="shared" si="52"/>
        <v>1302.9968780400006</v>
      </c>
      <c r="DO25" s="6">
        <v>3.0295337999999998</v>
      </c>
      <c r="DP25" s="6">
        <f t="shared" si="53"/>
        <v>1456.44837435</v>
      </c>
      <c r="DQ25" s="6">
        <f t="shared" si="54"/>
        <v>-153.45149630999936</v>
      </c>
      <c r="DS25" s="5">
        <v>46076</v>
      </c>
      <c r="DT25" s="6">
        <v>569875.15600565006</v>
      </c>
      <c r="DU25" s="6">
        <f t="shared" si="55"/>
        <v>1392.0301228339279</v>
      </c>
      <c r="DV25" s="6">
        <v>524115.97989265801</v>
      </c>
      <c r="DW25" s="6">
        <f t="shared" si="56"/>
        <v>1280.2544981658539</v>
      </c>
      <c r="DX25" s="6">
        <f t="shared" si="57"/>
        <v>2672.2846209997815</v>
      </c>
      <c r="DY25" s="6"/>
      <c r="DZ25" s="6">
        <f t="shared" si="58"/>
        <v>45759.176112992049</v>
      </c>
      <c r="EA25" s="6">
        <f t="shared" si="59"/>
        <v>111.775624668074</v>
      </c>
      <c r="EB25" s="6">
        <v>2.7358162699999999</v>
      </c>
      <c r="EC25" s="6">
        <f t="shared" si="60"/>
        <v>1315.2436718024999</v>
      </c>
      <c r="ED25" s="6">
        <v>3.0358670499999998</v>
      </c>
      <c r="EE25" s="6">
        <f t="shared" si="61"/>
        <v>1459.4930842874999</v>
      </c>
      <c r="EF25" s="6">
        <f t="shared" si="62"/>
        <v>-144.24941248499994</v>
      </c>
      <c r="EH25" s="5">
        <v>46076</v>
      </c>
      <c r="EI25" s="6">
        <v>2301671.3089083908</v>
      </c>
      <c r="EJ25" s="6">
        <f t="shared" si="63"/>
        <v>5622.2766707719202</v>
      </c>
      <c r="EK25" s="6">
        <v>2396884.0170610412</v>
      </c>
      <c r="EL25" s="6">
        <f t="shared" si="64"/>
        <v>5854.8520979129671</v>
      </c>
      <c r="EM25" s="6">
        <f t="shared" si="65"/>
        <v>11477.128768684888</v>
      </c>
      <c r="EN25" s="6"/>
      <c r="EO25" s="6">
        <f t="shared" si="66"/>
        <v>-95212.70815265039</v>
      </c>
      <c r="EP25" s="6">
        <f t="shared" si="67"/>
        <v>-232.57542714104699</v>
      </c>
      <c r="EQ25" s="6">
        <v>14.812827070000001</v>
      </c>
      <c r="ER25" s="6">
        <f t="shared" si="68"/>
        <v>5913.2805663440004</v>
      </c>
      <c r="ES25" s="6">
        <v>14.302234840000001</v>
      </c>
      <c r="ET25" s="6">
        <f t="shared" si="69"/>
        <v>5709.4521481279999</v>
      </c>
      <c r="EU25" s="6">
        <f t="shared" si="70"/>
        <v>203.82841821600013</v>
      </c>
      <c r="EW25" s="5">
        <v>46076</v>
      </c>
      <c r="EX25" s="6">
        <v>2196947.1153777889</v>
      </c>
      <c r="EY25" s="6">
        <f t="shared" si="71"/>
        <v>5366.467603737171</v>
      </c>
      <c r="EZ25" s="6">
        <v>2286446.8871311699</v>
      </c>
      <c r="FA25" s="6">
        <f t="shared" si="72"/>
        <v>5585.0880804407252</v>
      </c>
      <c r="FB25" s="6">
        <f t="shared" si="73"/>
        <v>10951.555684177896</v>
      </c>
      <c r="FC25" s="6"/>
      <c r="FD25" s="6">
        <f t="shared" si="74"/>
        <v>-89499.771753381006</v>
      </c>
      <c r="FE25" s="6">
        <f t="shared" si="75"/>
        <v>-218.62047670355409</v>
      </c>
      <c r="FF25" s="6">
        <v>14.1209484</v>
      </c>
      <c r="FG25" s="6">
        <f t="shared" si="76"/>
        <v>5637.0826012799998</v>
      </c>
      <c r="FH25" s="6">
        <v>13.671216530000001</v>
      </c>
      <c r="FI25" s="6">
        <f t="shared" si="77"/>
        <v>5457.5496387760004</v>
      </c>
      <c r="FJ25" s="6">
        <f t="shared" si="78"/>
        <v>179.53296250399961</v>
      </c>
      <c r="FL25" s="5">
        <v>46076</v>
      </c>
      <c r="FM25" s="6">
        <v>405266.79344692198</v>
      </c>
      <c r="FN25" s="6">
        <f t="shared" si="79"/>
        <v>989.94240811725717</v>
      </c>
      <c r="FO25" s="6">
        <v>493948.00286291097</v>
      </c>
      <c r="FP25" s="6">
        <f t="shared" si="80"/>
        <v>1206.5633882309728</v>
      </c>
      <c r="FQ25" s="6">
        <f t="shared" si="81"/>
        <v>2196.50579634823</v>
      </c>
      <c r="FR25" s="6"/>
      <c r="FS25" s="6">
        <f t="shared" si="82"/>
        <v>-88681.209415988997</v>
      </c>
      <c r="FT25" s="6">
        <f t="shared" si="83"/>
        <v>-216.62098011371552</v>
      </c>
      <c r="FU25" s="6">
        <v>631529.55466099991</v>
      </c>
      <c r="FV25" s="6">
        <f t="shared" si="84"/>
        <v>1130.4379028431897</v>
      </c>
      <c r="FW25" s="6">
        <v>540671.09151100006</v>
      </c>
      <c r="FX25" s="6">
        <f t="shared" si="85"/>
        <v>967.80125380469008</v>
      </c>
      <c r="FY25" s="6">
        <f t="shared" si="86"/>
        <v>162.63664903849971</v>
      </c>
      <c r="GA25" s="5">
        <v>46076</v>
      </c>
      <c r="GB25" s="6">
        <v>423159.93144235102</v>
      </c>
      <c r="GC25" s="6">
        <f t="shared" si="87"/>
        <v>1033.6498531939023</v>
      </c>
      <c r="GD25" s="6">
        <v>497589.49547109503</v>
      </c>
      <c r="GE25" s="6">
        <f t="shared" si="88"/>
        <v>1215.4584371715148</v>
      </c>
      <c r="GF25" s="6">
        <f t="shared" si="89"/>
        <v>2249.1082903654169</v>
      </c>
      <c r="GG25" s="6"/>
      <c r="GH25" s="6">
        <f t="shared" si="90"/>
        <v>-74429.564028744004</v>
      </c>
      <c r="GI25" s="6">
        <f t="shared" si="91"/>
        <v>-181.80858397761244</v>
      </c>
      <c r="GJ25" s="6">
        <v>635869.94659599988</v>
      </c>
      <c r="GK25" s="6">
        <f t="shared" si="92"/>
        <v>1138.2072044068398</v>
      </c>
      <c r="GL25" s="6">
        <v>565002.64178400009</v>
      </c>
      <c r="GM25" s="6">
        <f t="shared" si="93"/>
        <v>1011.3547287933601</v>
      </c>
      <c r="GN25" s="6">
        <f t="shared" si="94"/>
        <v>126.85247561347961</v>
      </c>
      <c r="GP25" s="5">
        <v>46076</v>
      </c>
      <c r="GQ25" s="6">
        <v>420867.80866150989</v>
      </c>
      <c r="GR25" s="6">
        <f t="shared" si="95"/>
        <v>1028.0509006469465</v>
      </c>
      <c r="GS25" s="6">
        <v>472894.61746868899</v>
      </c>
      <c r="GT25" s="6">
        <f t="shared" si="96"/>
        <v>1155.1364285757982</v>
      </c>
      <c r="GU25" s="6">
        <f t="shared" si="97"/>
        <v>2183.1873292227447</v>
      </c>
      <c r="GV25" s="6"/>
      <c r="GW25" s="6">
        <f t="shared" si="98"/>
        <v>-52026.808807179099</v>
      </c>
      <c r="GX25" s="6">
        <f t="shared" si="99"/>
        <v>-127.08552792885177</v>
      </c>
      <c r="GY25" s="6">
        <v>349.21065700000003</v>
      </c>
      <c r="GZ25" s="6">
        <f t="shared" si="100"/>
        <v>1155.188853356</v>
      </c>
      <c r="HA25" s="6">
        <v>323.362999</v>
      </c>
      <c r="HB25" s="6">
        <f t="shared" si="101"/>
        <v>1069.684800692</v>
      </c>
      <c r="HC25" s="6">
        <f t="shared" si="207"/>
        <v>85.504052664000071</v>
      </c>
      <c r="HE25" s="5">
        <v>46076</v>
      </c>
      <c r="HF25" s="6">
        <v>421639.35969356302</v>
      </c>
      <c r="HG25" s="6">
        <f t="shared" si="102"/>
        <v>1029.9355630446717</v>
      </c>
      <c r="HH25" s="6">
        <v>488026.24593613797</v>
      </c>
      <c r="HI25" s="6">
        <f t="shared" si="103"/>
        <v>1192.0983533276319</v>
      </c>
      <c r="HJ25" s="6">
        <f t="shared" si="104"/>
        <v>2222.0339163723038</v>
      </c>
      <c r="HK25" s="6"/>
      <c r="HL25" s="6">
        <f t="shared" si="105"/>
        <v>-66386.886242574954</v>
      </c>
      <c r="HM25" s="6">
        <f t="shared" si="106"/>
        <v>-162.16279028296046</v>
      </c>
      <c r="HN25" s="6">
        <v>360.78792900000002</v>
      </c>
      <c r="HO25" s="6">
        <f t="shared" si="107"/>
        <v>1193.4864691319999</v>
      </c>
      <c r="HP25" s="6">
        <v>324.17093399999999</v>
      </c>
      <c r="HQ25" s="6">
        <f t="shared" si="108"/>
        <v>1072.3574496719998</v>
      </c>
      <c r="HR25" s="6">
        <f t="shared" si="109"/>
        <v>121.12901946000009</v>
      </c>
      <c r="HT25" s="5">
        <v>46076</v>
      </c>
      <c r="HU25" s="6">
        <v>449470.98654294701</v>
      </c>
      <c r="HV25" s="6">
        <f t="shared" si="110"/>
        <v>1097.9196864680691</v>
      </c>
      <c r="HW25" s="6">
        <v>404174.93760585302</v>
      </c>
      <c r="HX25" s="6">
        <f t="shared" si="111"/>
        <v>987.27533936624627</v>
      </c>
      <c r="HY25" s="6">
        <f t="shared" si="112"/>
        <v>2085.1950258343154</v>
      </c>
      <c r="HZ25" s="6"/>
      <c r="IA25" s="6">
        <f t="shared" si="113"/>
        <v>45296.04893709399</v>
      </c>
      <c r="IB25" s="6">
        <f t="shared" si="114"/>
        <v>110.64434710182279</v>
      </c>
      <c r="IC25" s="6">
        <v>1.6552210999999999</v>
      </c>
      <c r="ID25" s="6">
        <f t="shared" si="115"/>
        <v>998.23074098799998</v>
      </c>
      <c r="IE25" s="6">
        <v>1.9163934600000001</v>
      </c>
      <c r="IF25" s="6">
        <f t="shared" si="116"/>
        <v>1155.7385678568</v>
      </c>
      <c r="IG25" s="6">
        <f t="shared" si="117"/>
        <v>-157.50782686880015</v>
      </c>
      <c r="II25" s="5">
        <v>46076</v>
      </c>
      <c r="IJ25" s="6">
        <v>456140.11489591701</v>
      </c>
      <c r="IK25" s="6">
        <f t="shared" si="118"/>
        <v>1114.2103204122659</v>
      </c>
      <c r="IL25" s="6">
        <v>400292.80578396597</v>
      </c>
      <c r="IM25" s="6">
        <f t="shared" si="119"/>
        <v>977.79248267398987</v>
      </c>
      <c r="IN25" s="6">
        <f t="shared" si="120"/>
        <v>2092.0028030862559</v>
      </c>
      <c r="IO25" s="6"/>
      <c r="IP25" s="6">
        <f t="shared" si="121"/>
        <v>55847.309111951035</v>
      </c>
      <c r="IQ25" s="6">
        <f t="shared" si="122"/>
        <v>136.41783773827609</v>
      </c>
      <c r="IR25" s="6">
        <v>1.6391056900000001</v>
      </c>
      <c r="IS25" s="6">
        <f t="shared" si="123"/>
        <v>988.51185952520007</v>
      </c>
      <c r="IT25" s="6">
        <v>1.9451218800000001</v>
      </c>
      <c r="IU25" s="6">
        <f t="shared" si="124"/>
        <v>1173.0641033904001</v>
      </c>
      <c r="IV25" s="6">
        <f t="shared" si="125"/>
        <v>-184.55224386520001</v>
      </c>
      <c r="IX25" s="5">
        <v>46076</v>
      </c>
      <c r="IY25" s="6">
        <v>541827.82066431199</v>
      </c>
      <c r="IZ25" s="6">
        <f t="shared" si="126"/>
        <v>1323.5190897613086</v>
      </c>
      <c r="JA25" s="6">
        <v>504390.40038265102</v>
      </c>
      <c r="JB25" s="6">
        <f t="shared" si="127"/>
        <v>1232.0709608087468</v>
      </c>
      <c r="JC25" s="6">
        <f t="shared" si="128"/>
        <v>2555.5900505700556</v>
      </c>
      <c r="JD25" s="6"/>
      <c r="JE25" s="6">
        <f t="shared" si="129"/>
        <v>37437.420281660976</v>
      </c>
      <c r="JF25" s="6">
        <f t="shared" si="130"/>
        <v>91.448128952561717</v>
      </c>
      <c r="JG25" s="6">
        <v>9.8007275100000033</v>
      </c>
      <c r="JH25" s="6">
        <f t="shared" si="131"/>
        <v>1217.4463712922004</v>
      </c>
      <c r="JI25" s="6">
        <v>10.73776295</v>
      </c>
      <c r="JJ25" s="6">
        <f t="shared" si="132"/>
        <v>1333.8449136490001</v>
      </c>
      <c r="JK25" s="6">
        <f t="shared" si="133"/>
        <v>-116.39854235679965</v>
      </c>
      <c r="JM25" s="5">
        <v>46076</v>
      </c>
      <c r="JN25" s="6">
        <v>569296.17046948406</v>
      </c>
      <c r="JO25" s="6">
        <f t="shared" si="134"/>
        <v>1390.6158388481556</v>
      </c>
      <c r="JP25" s="6">
        <v>536990.47197259904</v>
      </c>
      <c r="JQ25" s="6">
        <f t="shared" si="135"/>
        <v>1311.7029313930202</v>
      </c>
      <c r="JR25" s="6">
        <f t="shared" si="136"/>
        <v>2702.318770241176</v>
      </c>
      <c r="JS25" s="6"/>
      <c r="JT25" s="6">
        <f t="shared" si="137"/>
        <v>32305.698496885016</v>
      </c>
      <c r="JU25" s="6">
        <f t="shared" si="138"/>
        <v>78.912907455135354</v>
      </c>
      <c r="JV25" s="6">
        <v>10.430949139999999</v>
      </c>
      <c r="JW25" s="6">
        <f t="shared" si="139"/>
        <v>1295.7325021708</v>
      </c>
      <c r="JX25" s="6">
        <v>11.27822961</v>
      </c>
      <c r="JY25" s="6">
        <f t="shared" si="140"/>
        <v>1400.9816821542001</v>
      </c>
      <c r="JZ25" s="6">
        <f t="shared" si="141"/>
        <v>-105.24917998340014</v>
      </c>
      <c r="KB25" s="5">
        <v>46076</v>
      </c>
      <c r="KC25" s="6">
        <v>594408.35188465589</v>
      </c>
      <c r="KD25" s="6">
        <f t="shared" si="142"/>
        <v>1451.9571916191878</v>
      </c>
      <c r="KE25" s="6">
        <v>522458.96420744911</v>
      </c>
      <c r="KF25" s="6">
        <f t="shared" si="143"/>
        <v>1276.2069173518619</v>
      </c>
      <c r="KG25" s="6">
        <f t="shared" si="144"/>
        <v>2728.1641089710497</v>
      </c>
      <c r="KH25" s="6"/>
      <c r="KI25" s="6">
        <f t="shared" si="145"/>
        <v>71949.387677206774</v>
      </c>
      <c r="KJ25" s="6">
        <f t="shared" si="146"/>
        <v>175.75027426732575</v>
      </c>
      <c r="KK25" s="6">
        <v>1.8981539919999999</v>
      </c>
      <c r="KL25" s="6">
        <f t="shared" si="147"/>
        <v>1298.54612746712</v>
      </c>
      <c r="KM25" s="6">
        <v>2.2029427340000001</v>
      </c>
      <c r="KN25" s="6">
        <f t="shared" si="148"/>
        <v>1507.0551537567401</v>
      </c>
      <c r="KO25" s="6">
        <f t="shared" si="149"/>
        <v>-208.50902628962012</v>
      </c>
      <c r="KQ25" s="5">
        <v>46076</v>
      </c>
      <c r="KR25" s="6">
        <v>551707.81767598703</v>
      </c>
      <c r="KS25" s="6">
        <f t="shared" si="150"/>
        <v>1347.6528904873478</v>
      </c>
      <c r="KT25" s="6">
        <v>522729.93470730411</v>
      </c>
      <c r="KU25" s="6">
        <f t="shared" si="151"/>
        <v>1276.8688151275808</v>
      </c>
      <c r="KV25" s="6">
        <f t="shared" si="152"/>
        <v>2624.5217056149286</v>
      </c>
      <c r="KW25" s="6"/>
      <c r="KX25" s="6">
        <f t="shared" si="153"/>
        <v>28977.882968682912</v>
      </c>
      <c r="KY25" s="6">
        <f t="shared" si="154"/>
        <v>70.784075359766916</v>
      </c>
      <c r="KZ25" s="6">
        <v>1.8983396699999999</v>
      </c>
      <c r="LA25" s="6">
        <f t="shared" si="155"/>
        <v>1298.6731516437001</v>
      </c>
      <c r="LB25" s="6">
        <v>2.0438815730000002</v>
      </c>
      <c r="LC25" s="6">
        <f t="shared" si="156"/>
        <v>1398.2398229050302</v>
      </c>
      <c r="LD25" s="6">
        <f t="shared" si="157"/>
        <v>-99.566671261330171</v>
      </c>
      <c r="LF25" s="5">
        <v>46076</v>
      </c>
      <c r="LG25" s="6">
        <v>496465.82219662191</v>
      </c>
      <c r="LH25" s="6">
        <f t="shared" si="158"/>
        <v>1212.7136481948314</v>
      </c>
      <c r="LI25" s="6">
        <v>552969.70236191689</v>
      </c>
      <c r="LJ25" s="6">
        <f t="shared" si="159"/>
        <v>1350.7352875279021</v>
      </c>
      <c r="LK25" s="6">
        <f t="shared" si="160"/>
        <v>2563.4489357227335</v>
      </c>
      <c r="LL25" s="6"/>
      <c r="LM25" s="6">
        <f t="shared" si="161"/>
        <v>-56503.880165294977</v>
      </c>
      <c r="LN25" s="6">
        <f t="shared" si="162"/>
        <v>-138.02163933307048</v>
      </c>
      <c r="LO25" s="6">
        <v>22.179131590000001</v>
      </c>
      <c r="LP25" s="6">
        <f t="shared" si="163"/>
        <v>1356.4756880443999</v>
      </c>
      <c r="LQ25" s="6">
        <v>20.321178849999999</v>
      </c>
      <c r="LR25" s="6">
        <f t="shared" si="164"/>
        <v>1242.8432984659999</v>
      </c>
      <c r="LS25" s="6">
        <f t="shared" si="165"/>
        <v>113.63238957840011</v>
      </c>
      <c r="LU25" s="5">
        <v>46076</v>
      </c>
      <c r="LV25" s="6">
        <v>405575.06897061702</v>
      </c>
      <c r="LW25" s="6">
        <f t="shared" si="166"/>
        <v>990.69543061805155</v>
      </c>
      <c r="LX25" s="6">
        <v>480295.999317087</v>
      </c>
      <c r="LY25" s="6">
        <f t="shared" si="167"/>
        <v>1173.215733095373</v>
      </c>
      <c r="LZ25" s="6">
        <f t="shared" si="168"/>
        <v>2163.9111637134247</v>
      </c>
      <c r="MA25" s="6"/>
      <c r="MB25" s="6">
        <f t="shared" si="169"/>
        <v>-74720.930346469977</v>
      </c>
      <c r="MC25" s="6">
        <f t="shared" si="170"/>
        <v>-182.52030247732142</v>
      </c>
      <c r="MD25" s="6">
        <v>19.243643479999999</v>
      </c>
      <c r="ME25" s="6">
        <f t="shared" si="171"/>
        <v>1176.9412352367999</v>
      </c>
      <c r="MF25" s="6">
        <v>16.578508830000001</v>
      </c>
      <c r="MG25" s="6">
        <f t="shared" si="172"/>
        <v>1013.9416000428</v>
      </c>
      <c r="MH25" s="6">
        <f t="shared" si="173"/>
        <v>162.99963519399992</v>
      </c>
      <c r="MJ25" s="5">
        <v>46076</v>
      </c>
      <c r="MK25" s="6">
        <v>588299.45628938195</v>
      </c>
      <c r="ML25" s="6">
        <f t="shared" si="174"/>
        <v>1437.0350343778139</v>
      </c>
      <c r="MM25" s="6">
        <v>532124.66501133994</v>
      </c>
      <c r="MN25" s="6">
        <f t="shared" si="175"/>
        <v>1299.8172582055047</v>
      </c>
      <c r="MO25" s="6">
        <f t="shared" si="176"/>
        <v>2736.8522925833186</v>
      </c>
      <c r="MP25" s="6"/>
      <c r="MQ25" s="6">
        <f t="shared" si="177"/>
        <v>56174.791278042016</v>
      </c>
      <c r="MR25" s="6">
        <f t="shared" si="178"/>
        <v>137.21777617230921</v>
      </c>
      <c r="MS25" s="6">
        <v>4.2065023400000001</v>
      </c>
      <c r="MT25" s="6">
        <f t="shared" si="179"/>
        <v>1317.5606629348001</v>
      </c>
      <c r="MU25" s="6">
        <v>4.7470638100000002</v>
      </c>
      <c r="MV25" s="6">
        <f t="shared" si="180"/>
        <v>1486.8753265682003</v>
      </c>
      <c r="MW25" s="6">
        <f t="shared" si="181"/>
        <v>-169.31466363340004</v>
      </c>
      <c r="MY25" s="5">
        <v>46076</v>
      </c>
      <c r="MZ25" s="6">
        <v>601953.06844597997</v>
      </c>
      <c r="NA25" s="6">
        <f t="shared" si="182"/>
        <v>1470.3866188558841</v>
      </c>
      <c r="NB25" s="6">
        <v>552935.268409941</v>
      </c>
      <c r="NC25" s="6">
        <f t="shared" si="183"/>
        <v>1350.651175950316</v>
      </c>
      <c r="ND25" s="6">
        <f t="shared" si="184"/>
        <v>2821.0377948062001</v>
      </c>
      <c r="NE25" s="6"/>
      <c r="NF25" s="6">
        <f t="shared" si="185"/>
        <v>49017.800036038971</v>
      </c>
      <c r="NG25" s="6">
        <f t="shared" si="186"/>
        <v>119.73544290556814</v>
      </c>
      <c r="NH25" s="6">
        <v>4.3695269099999994</v>
      </c>
      <c r="NI25" s="6">
        <f t="shared" si="187"/>
        <v>1368.6232187501998</v>
      </c>
      <c r="NJ25" s="6">
        <v>4.8580225699999993</v>
      </c>
      <c r="NK25" s="6">
        <f t="shared" si="188"/>
        <v>1521.6298293753998</v>
      </c>
      <c r="NL25" s="6">
        <f t="shared" si="189"/>
        <v>-153.00661062519998</v>
      </c>
      <c r="NN25" s="5">
        <v>46076</v>
      </c>
      <c r="NO25" s="6">
        <v>490485.56937711901</v>
      </c>
      <c r="NP25" s="6">
        <f t="shared" si="190"/>
        <v>1198.1057257767711</v>
      </c>
      <c r="NQ25" s="6">
        <v>560185.05701913103</v>
      </c>
      <c r="NR25" s="6">
        <f t="shared" si="191"/>
        <v>1368.360184707439</v>
      </c>
      <c r="NS25" s="6">
        <f t="shared" si="192"/>
        <v>2566.4659104842103</v>
      </c>
      <c r="NT25" s="6"/>
      <c r="NU25" s="6">
        <f t="shared" si="193"/>
        <v>-69699.487642012013</v>
      </c>
      <c r="NV25" s="6">
        <f t="shared" si="194"/>
        <v>-170.25445893066777</v>
      </c>
      <c r="NW25" s="6">
        <v>214392.04652100001</v>
      </c>
      <c r="NX25" s="6">
        <f t="shared" si="195"/>
        <v>1354.95773401272</v>
      </c>
      <c r="NY25" s="6">
        <v>195293.32082299999</v>
      </c>
      <c r="NZ25" s="6">
        <f t="shared" si="196"/>
        <v>1234.25378760136</v>
      </c>
      <c r="OA25" s="6">
        <f t="shared" si="197"/>
        <v>120.70394641136015</v>
      </c>
      <c r="OC25" s="5">
        <v>46076</v>
      </c>
      <c r="OD25" s="6">
        <v>493613.23253721098</v>
      </c>
      <c r="OE25" s="6">
        <f t="shared" si="198"/>
        <v>1205.7456470596053</v>
      </c>
      <c r="OF25" s="6">
        <v>554389.66095415503</v>
      </c>
      <c r="OG25" s="6">
        <f t="shared" si="199"/>
        <v>1354.2038106118471</v>
      </c>
      <c r="OH25" s="6">
        <f t="shared" si="200"/>
        <v>2559.9494576714524</v>
      </c>
      <c r="OI25" s="6"/>
      <c r="OJ25" s="6">
        <f t="shared" si="201"/>
        <v>-60776.428416944051</v>
      </c>
      <c r="OK25" s="6">
        <f t="shared" si="202"/>
        <v>-148.4581635522417</v>
      </c>
      <c r="OL25" s="6">
        <v>212435.40231100001</v>
      </c>
      <c r="OM25" s="6">
        <f t="shared" si="203"/>
        <v>1342.59174260552</v>
      </c>
      <c r="ON25" s="6">
        <v>196597.352021</v>
      </c>
      <c r="OO25" s="6">
        <f t="shared" si="204"/>
        <v>1242.49526477272</v>
      </c>
      <c r="OP25" s="6">
        <f t="shared" si="205"/>
        <v>100.09647783280009</v>
      </c>
    </row>
    <row r="26" spans="1:406" x14ac:dyDescent="0.2">
      <c r="A26" s="5">
        <v>46077</v>
      </c>
      <c r="B26" s="10">
        <v>161.46</v>
      </c>
      <c r="C26" s="6">
        <v>73.260000000000005</v>
      </c>
      <c r="D26" s="6">
        <v>192.77</v>
      </c>
      <c r="E26" s="6">
        <v>474.16</v>
      </c>
      <c r="F26" s="6">
        <v>409.09</v>
      </c>
      <c r="G26" s="2">
        <v>1.6900000000000001E-3</v>
      </c>
      <c r="H26" s="6">
        <v>3.3650000000000002</v>
      </c>
      <c r="I26" s="6">
        <v>608.30999999999995</v>
      </c>
      <c r="J26" s="6">
        <v>125.11</v>
      </c>
      <c r="K26" s="6">
        <v>689.17</v>
      </c>
      <c r="L26" s="6">
        <v>61.63</v>
      </c>
      <c r="M26" s="6">
        <v>311.29000000000002</v>
      </c>
      <c r="N26" s="6">
        <v>6.45E-3</v>
      </c>
      <c r="O26" s="6">
        <v>78.984999999999999</v>
      </c>
      <c r="P26" s="7">
        <v>3.1940000000000003E-5</v>
      </c>
      <c r="R26" s="5">
        <v>46077</v>
      </c>
      <c r="S26" s="6">
        <v>606621.69039509993</v>
      </c>
      <c r="T26" s="6">
        <f t="shared" si="0"/>
        <v>1530.3736140544718</v>
      </c>
      <c r="U26" s="6">
        <v>605020.40405071201</v>
      </c>
      <c r="V26" s="6">
        <f t="shared" si="1"/>
        <v>1526.333919449419</v>
      </c>
      <c r="W26" s="6">
        <f t="shared" si="2"/>
        <v>3056.7075335038908</v>
      </c>
      <c r="X26" s="6"/>
      <c r="Y26" s="6">
        <f t="shared" si="3"/>
        <v>1601.2863443879178</v>
      </c>
      <c r="Z26" s="6">
        <f t="shared" si="4"/>
        <v>4.0396946050526612</v>
      </c>
      <c r="AA26" s="6">
        <v>9.2897665299999996</v>
      </c>
      <c r="AB26" s="6">
        <f t="shared" si="5"/>
        <v>1499.9257039337999</v>
      </c>
      <c r="AC26" s="6">
        <v>9.5053193700000005</v>
      </c>
      <c r="AD26" s="6">
        <f t="shared" si="6"/>
        <v>1534.7288654802001</v>
      </c>
      <c r="AE26" s="6">
        <f t="shared" si="7"/>
        <v>-34.80316154640014</v>
      </c>
      <c r="AG26" s="5">
        <v>46077</v>
      </c>
      <c r="AH26" s="6">
        <v>606578.40359492495</v>
      </c>
      <c r="AI26" s="6">
        <f t="shared" si="8"/>
        <v>1530.2644109417681</v>
      </c>
      <c r="AJ26" s="6">
        <v>614276.35009684588</v>
      </c>
      <c r="AK26" s="6">
        <f t="shared" si="9"/>
        <v>1549.684643346036</v>
      </c>
      <c r="AL26" s="6">
        <f t="shared" si="10"/>
        <v>3079.9490542878038</v>
      </c>
      <c r="AM26" s="6"/>
      <c r="AN26" s="6">
        <f t="shared" si="11"/>
        <v>-7697.946501920931</v>
      </c>
      <c r="AO26" s="6">
        <f t="shared" si="12"/>
        <v>-19.420232404267939</v>
      </c>
      <c r="AP26" s="6">
        <v>9.4285288699999974</v>
      </c>
      <c r="AQ26" s="6">
        <f t="shared" si="13"/>
        <v>1522.3302713501996</v>
      </c>
      <c r="AR26" s="6">
        <v>9.5053193700000005</v>
      </c>
      <c r="AS26" s="6">
        <f t="shared" si="14"/>
        <v>1534.7288654802001</v>
      </c>
      <c r="AT26" s="6">
        <f t="shared" si="15"/>
        <v>-12.3985941300005</v>
      </c>
      <c r="AV26" s="5">
        <v>46077</v>
      </c>
      <c r="AW26" s="6">
        <v>604343.48178849497</v>
      </c>
      <c r="AX26" s="6">
        <f t="shared" si="16"/>
        <v>1524.626192895513</v>
      </c>
      <c r="AY26" s="6">
        <v>594888.41779219301</v>
      </c>
      <c r="AZ26" s="6">
        <f t="shared" si="17"/>
        <v>1500.7731380373648</v>
      </c>
      <c r="BA26" s="6">
        <f t="shared" si="18"/>
        <v>3025.399330932878</v>
      </c>
      <c r="BB26" s="6"/>
      <c r="BC26" s="6">
        <f t="shared" si="206"/>
        <v>9455.0639963019639</v>
      </c>
      <c r="BD26" s="6">
        <f t="shared" si="19"/>
        <v>23.853054858148266</v>
      </c>
      <c r="BE26" s="6">
        <v>20.25002177</v>
      </c>
      <c r="BF26" s="6">
        <f t="shared" si="20"/>
        <v>1483.5165948702002</v>
      </c>
      <c r="BG26" s="6">
        <v>20.99175374</v>
      </c>
      <c r="BH26" s="6">
        <f t="shared" si="21"/>
        <v>1537.8558789924002</v>
      </c>
      <c r="BI26" s="6">
        <f t="shared" si="22"/>
        <v>-54.339284122200006</v>
      </c>
      <c r="BK26" s="5">
        <v>46077</v>
      </c>
      <c r="BL26" s="6">
        <v>228590.318209455</v>
      </c>
      <c r="BM26" s="6">
        <f t="shared" si="23"/>
        <v>576.68328870373534</v>
      </c>
      <c r="BN26" s="6">
        <v>222418.787571578</v>
      </c>
      <c r="BO26" s="6">
        <f t="shared" si="24"/>
        <v>561.11386908673444</v>
      </c>
      <c r="BP26" s="6">
        <f t="shared" si="25"/>
        <v>1137.7971577904698</v>
      </c>
      <c r="BQ26" s="6"/>
      <c r="BR26" s="6">
        <f t="shared" si="26"/>
        <v>6171.5306378770038</v>
      </c>
      <c r="BS26" s="6">
        <f t="shared" si="27"/>
        <v>15.569419617000923</v>
      </c>
      <c r="BT26" s="6">
        <v>7.5651069299999998</v>
      </c>
      <c r="BU26" s="6">
        <f t="shared" si="28"/>
        <v>554.2197336918</v>
      </c>
      <c r="BV26" s="6">
        <v>7.9419598300000001</v>
      </c>
      <c r="BW26" s="6">
        <f t="shared" si="29"/>
        <v>581.82797714579999</v>
      </c>
      <c r="BX26" s="6">
        <f t="shared" si="30"/>
        <v>-27.608243454000021</v>
      </c>
      <c r="BZ26" s="5">
        <v>46077</v>
      </c>
      <c r="CA26" s="6">
        <v>619551.38725456002</v>
      </c>
      <c r="CB26" s="6">
        <f t="shared" si="31"/>
        <v>1562.9924063343076</v>
      </c>
      <c r="CC26" s="6">
        <v>611788.74863493897</v>
      </c>
      <c r="CD26" s="6">
        <f t="shared" si="32"/>
        <v>1543.4089698911253</v>
      </c>
      <c r="CE26" s="6">
        <f t="shared" si="33"/>
        <v>3106.4013762254326</v>
      </c>
      <c r="CF26" s="6"/>
      <c r="CG26" s="6">
        <f t="shared" si="34"/>
        <v>7762.6386196210515</v>
      </c>
      <c r="CH26" s="6">
        <f t="shared" si="35"/>
        <v>19.583436443182354</v>
      </c>
      <c r="CI26" s="6">
        <v>7.8121913000000003</v>
      </c>
      <c r="CJ26" s="6">
        <f t="shared" si="36"/>
        <v>1505.9561169010001</v>
      </c>
      <c r="CK26" s="6">
        <v>8.0694810700000001</v>
      </c>
      <c r="CL26" s="6">
        <f t="shared" si="37"/>
        <v>1555.5538658639</v>
      </c>
      <c r="CM26" s="6">
        <f t="shared" si="38"/>
        <v>-49.597748962899978</v>
      </c>
      <c r="CO26" s="5">
        <v>46077</v>
      </c>
      <c r="CP26" s="6">
        <v>633156.01557400101</v>
      </c>
      <c r="CQ26" s="6">
        <f t="shared" si="39"/>
        <v>1597.3139028101923</v>
      </c>
      <c r="CR26" s="6">
        <v>611788.74863493897</v>
      </c>
      <c r="CS26" s="6">
        <f t="shared" si="40"/>
        <v>1543.4089698911253</v>
      </c>
      <c r="CT26" s="6">
        <f t="shared" si="41"/>
        <v>3140.7228727013176</v>
      </c>
      <c r="CU26" s="6"/>
      <c r="CV26" s="6">
        <f t="shared" si="42"/>
        <v>21367.266939062043</v>
      </c>
      <c r="CW26" s="6">
        <f t="shared" si="43"/>
        <v>53.904932919067186</v>
      </c>
      <c r="CX26" s="6">
        <v>7.8107781399999991</v>
      </c>
      <c r="CY26" s="6">
        <f t="shared" si="44"/>
        <v>1505.6837020477999</v>
      </c>
      <c r="CZ26" s="6">
        <v>8.2510784600000004</v>
      </c>
      <c r="DA26" s="6">
        <f t="shared" si="45"/>
        <v>1590.5603947342001</v>
      </c>
      <c r="DB26" s="6">
        <f t="shared" si="46"/>
        <v>-84.876692686400261</v>
      </c>
      <c r="DD26" s="5">
        <v>46077</v>
      </c>
      <c r="DE26" s="6">
        <v>604315.74256005499</v>
      </c>
      <c r="DF26" s="6">
        <f t="shared" si="47"/>
        <v>1524.5562128998238</v>
      </c>
      <c r="DG26" s="6">
        <v>608806.40649990994</v>
      </c>
      <c r="DH26" s="6">
        <f t="shared" si="48"/>
        <v>1535.8851741156088</v>
      </c>
      <c r="DI26" s="6">
        <f t="shared" si="49"/>
        <v>3060.4413870154326</v>
      </c>
      <c r="DJ26" s="6"/>
      <c r="DK26" s="6">
        <f t="shared" si="50"/>
        <v>-4490.6639398549451</v>
      </c>
      <c r="DL26" s="6">
        <f t="shared" si="51"/>
        <v>-11.328961215784805</v>
      </c>
      <c r="DM26" s="6">
        <v>3.1391240800000002</v>
      </c>
      <c r="DN26" s="6">
        <f t="shared" si="52"/>
        <v>1488.4470737728002</v>
      </c>
      <c r="DO26" s="6">
        <v>3.1794022100000001</v>
      </c>
      <c r="DP26" s="6">
        <f t="shared" si="53"/>
        <v>1507.5453518936001</v>
      </c>
      <c r="DQ26" s="6">
        <f t="shared" si="54"/>
        <v>-19.098278120799961</v>
      </c>
      <c r="DS26" s="5">
        <v>46077</v>
      </c>
      <c r="DT26" s="6">
        <v>604292.48266595998</v>
      </c>
      <c r="DU26" s="6">
        <f t="shared" si="55"/>
        <v>1524.4975332832648</v>
      </c>
      <c r="DV26" s="6">
        <v>621186.24338923511</v>
      </c>
      <c r="DW26" s="6">
        <f t="shared" si="56"/>
        <v>1567.1167901651138</v>
      </c>
      <c r="DX26" s="6">
        <f t="shared" si="57"/>
        <v>3091.6143234483789</v>
      </c>
      <c r="DY26" s="6"/>
      <c r="DZ26" s="6">
        <f t="shared" si="58"/>
        <v>-16893.760723275132</v>
      </c>
      <c r="EA26" s="6">
        <f t="shared" si="59"/>
        <v>-42.619256881848692</v>
      </c>
      <c r="EB26" s="6">
        <v>3.2032124500000001</v>
      </c>
      <c r="EC26" s="6">
        <f t="shared" si="60"/>
        <v>1518.8352152920002</v>
      </c>
      <c r="ED26" s="6">
        <v>3.1794022100000001</v>
      </c>
      <c r="EE26" s="6">
        <f t="shared" si="61"/>
        <v>1507.5453518936001</v>
      </c>
      <c r="EF26" s="6">
        <f t="shared" si="62"/>
        <v>11.289863398399993</v>
      </c>
      <c r="EH26" s="5">
        <v>46077</v>
      </c>
      <c r="EI26" s="6">
        <v>2574973.1511997972</v>
      </c>
      <c r="EJ26" s="6">
        <f t="shared" si="63"/>
        <v>6496.0930838596614</v>
      </c>
      <c r="EK26" s="6">
        <v>2545728.3639628398</v>
      </c>
      <c r="EL26" s="6">
        <f t="shared" si="64"/>
        <v>6422.3148931937012</v>
      </c>
      <c r="EM26" s="6">
        <f t="shared" si="65"/>
        <v>12918.407977053363</v>
      </c>
      <c r="EN26" s="6"/>
      <c r="EO26" s="6">
        <f t="shared" si="66"/>
        <v>29244.787236957345</v>
      </c>
      <c r="EP26" s="6">
        <f t="shared" si="67"/>
        <v>73.778190665959769</v>
      </c>
      <c r="EQ26" s="6">
        <v>15.64014991</v>
      </c>
      <c r="ER26" s="6">
        <f t="shared" si="68"/>
        <v>6398.2289266818998</v>
      </c>
      <c r="ES26" s="6">
        <v>15.88945376</v>
      </c>
      <c r="ET26" s="6">
        <f t="shared" si="69"/>
        <v>6500.2166386784002</v>
      </c>
      <c r="EU26" s="6">
        <f t="shared" si="70"/>
        <v>-101.98771199650017</v>
      </c>
      <c r="EW26" s="5">
        <v>46077</v>
      </c>
      <c r="EX26" s="6">
        <v>2398534.5840766961</v>
      </c>
      <c r="EY26" s="6">
        <f t="shared" si="71"/>
        <v>6050.9772366981333</v>
      </c>
      <c r="EZ26" s="6">
        <v>2332135.3659626739</v>
      </c>
      <c r="FA26" s="6">
        <f t="shared" si="72"/>
        <v>5883.4665574651444</v>
      </c>
      <c r="FB26" s="6">
        <f t="shared" si="73"/>
        <v>11934.443794163279</v>
      </c>
      <c r="FC26" s="6"/>
      <c r="FD26" s="6">
        <f t="shared" si="74"/>
        <v>66399.218114022166</v>
      </c>
      <c r="FE26" s="6">
        <f t="shared" si="75"/>
        <v>167.51067923298916</v>
      </c>
      <c r="FF26" s="6">
        <v>14.31891354</v>
      </c>
      <c r="FG26" s="6">
        <f t="shared" si="76"/>
        <v>5857.7243400786001</v>
      </c>
      <c r="FH26" s="6">
        <v>14.824962299999999</v>
      </c>
      <c r="FI26" s="6">
        <f t="shared" si="77"/>
        <v>6064.7438273069993</v>
      </c>
      <c r="FJ26" s="6">
        <f t="shared" si="78"/>
        <v>-207.01948722839947</v>
      </c>
      <c r="FL26" s="5">
        <v>46077</v>
      </c>
      <c r="FM26" s="6">
        <v>542639.20856668998</v>
      </c>
      <c r="FN26" s="6">
        <f t="shared" si="79"/>
        <v>1368.9598309631619</v>
      </c>
      <c r="FO26" s="6">
        <v>516661.63988696202</v>
      </c>
      <c r="FP26" s="6">
        <f t="shared" si="80"/>
        <v>1303.424116869506</v>
      </c>
      <c r="FQ26" s="6">
        <f t="shared" si="81"/>
        <v>2672.3839478326681</v>
      </c>
      <c r="FR26" s="6"/>
      <c r="FS26" s="6">
        <f t="shared" si="82"/>
        <v>25977.568679727963</v>
      </c>
      <c r="FT26" s="6">
        <f t="shared" si="83"/>
        <v>65.535714093655926</v>
      </c>
      <c r="FU26" s="6">
        <v>704347.65499600011</v>
      </c>
      <c r="FV26" s="6">
        <f t="shared" si="84"/>
        <v>1190.3475369432404</v>
      </c>
      <c r="FW26" s="6">
        <v>770036.958232</v>
      </c>
      <c r="FX26" s="6">
        <f t="shared" si="85"/>
        <v>1301.3624594120802</v>
      </c>
      <c r="FY26" s="6">
        <f t="shared" si="86"/>
        <v>-111.01492246883983</v>
      </c>
      <c r="GA26" s="5">
        <v>46077</v>
      </c>
      <c r="GB26" s="6">
        <v>518611.71854562103</v>
      </c>
      <c r="GC26" s="6">
        <f t="shared" si="87"/>
        <v>1308.3437380630685</v>
      </c>
      <c r="GD26" s="6">
        <v>516661.63988696202</v>
      </c>
      <c r="GE26" s="6">
        <f t="shared" si="88"/>
        <v>1303.424116869506</v>
      </c>
      <c r="GF26" s="6">
        <f t="shared" si="89"/>
        <v>2611.7678549325747</v>
      </c>
      <c r="GG26" s="6"/>
      <c r="GH26" s="6">
        <f t="shared" si="90"/>
        <v>1950.0786586590111</v>
      </c>
      <c r="GI26" s="6">
        <f t="shared" si="91"/>
        <v>4.9196211935625733</v>
      </c>
      <c r="GJ26" s="6">
        <v>704251.63724699989</v>
      </c>
      <c r="GK26" s="6">
        <f t="shared" si="92"/>
        <v>1190.1852669474299</v>
      </c>
      <c r="GL26" s="6">
        <v>735446.5596080001</v>
      </c>
      <c r="GM26" s="6">
        <f t="shared" si="93"/>
        <v>1242.9046857375201</v>
      </c>
      <c r="GN26" s="6">
        <f t="shared" si="94"/>
        <v>-52.719418790090351</v>
      </c>
      <c r="GP26" s="5">
        <v>46077</v>
      </c>
      <c r="GQ26" s="6">
        <v>532123.27357660094</v>
      </c>
      <c r="GR26" s="6">
        <f t="shared" si="95"/>
        <v>1342.4304310245236</v>
      </c>
      <c r="GS26" s="6">
        <v>511198.44693864707</v>
      </c>
      <c r="GT26" s="6">
        <f t="shared" si="96"/>
        <v>1289.6416780464824</v>
      </c>
      <c r="GU26" s="6">
        <f t="shared" si="97"/>
        <v>2632.0721090710058</v>
      </c>
      <c r="GV26" s="6"/>
      <c r="GW26" s="6">
        <f t="shared" si="98"/>
        <v>20924.826637953869</v>
      </c>
      <c r="GX26" s="6">
        <f t="shared" si="99"/>
        <v>52.788752978041238</v>
      </c>
      <c r="GY26" s="6">
        <v>373.98116399999998</v>
      </c>
      <c r="GZ26" s="6">
        <f t="shared" si="100"/>
        <v>1258.4466168599999</v>
      </c>
      <c r="HA26" s="6">
        <v>405.22766000000001</v>
      </c>
      <c r="HB26" s="6">
        <f t="shared" si="101"/>
        <v>1363.5910759000001</v>
      </c>
      <c r="HC26" s="6">
        <f t="shared" si="207"/>
        <v>-105.14445904000013</v>
      </c>
      <c r="HE26" s="5">
        <v>46077</v>
      </c>
      <c r="HF26" s="6">
        <v>535116.09207661904</v>
      </c>
      <c r="HG26" s="6">
        <f t="shared" si="102"/>
        <v>1349.980656373536</v>
      </c>
      <c r="HH26" s="6">
        <v>498930.72120103508</v>
      </c>
      <c r="HI26" s="6">
        <f t="shared" si="103"/>
        <v>1258.6928938691965</v>
      </c>
      <c r="HJ26" s="6">
        <f t="shared" si="104"/>
        <v>2608.6735502427327</v>
      </c>
      <c r="HK26" s="6"/>
      <c r="HL26" s="6">
        <f t="shared" si="105"/>
        <v>36185.370875583962</v>
      </c>
      <c r="HM26" s="6">
        <f t="shared" si="106"/>
        <v>91.287762504339497</v>
      </c>
      <c r="HN26" s="6">
        <v>364.94163800000001</v>
      </c>
      <c r="HO26" s="6">
        <f t="shared" si="107"/>
        <v>1228.0286118700001</v>
      </c>
      <c r="HP26" s="6">
        <v>407.64966299999998</v>
      </c>
      <c r="HQ26" s="6">
        <f t="shared" si="108"/>
        <v>1371.741115995</v>
      </c>
      <c r="HR26" s="6">
        <f t="shared" si="109"/>
        <v>-143.7125041249999</v>
      </c>
      <c r="HT26" s="5">
        <v>46077</v>
      </c>
      <c r="HU26" s="6">
        <v>495352.65824415098</v>
      </c>
      <c r="HV26" s="6">
        <f t="shared" si="110"/>
        <v>1249.6662249825717</v>
      </c>
      <c r="HW26" s="6">
        <v>497538.43057420797</v>
      </c>
      <c r="HX26" s="6">
        <f t="shared" si="111"/>
        <v>1255.1804496685882</v>
      </c>
      <c r="HY26" s="6">
        <f t="shared" si="112"/>
        <v>2504.8466746511599</v>
      </c>
      <c r="HZ26" s="6"/>
      <c r="IA26" s="6">
        <f t="shared" si="113"/>
        <v>-2185.7723300569924</v>
      </c>
      <c r="IB26" s="6">
        <f t="shared" si="114"/>
        <v>-5.5142246860162762</v>
      </c>
      <c r="IC26" s="6">
        <v>2.01722869</v>
      </c>
      <c r="ID26" s="6">
        <f t="shared" si="115"/>
        <v>1227.1003844139</v>
      </c>
      <c r="IE26" s="6">
        <v>2.0906208500000001</v>
      </c>
      <c r="IF26" s="6">
        <f t="shared" si="116"/>
        <v>1271.7455692634999</v>
      </c>
      <c r="IG26" s="6">
        <f t="shared" si="117"/>
        <v>-44.645184849600021</v>
      </c>
      <c r="II26" s="5">
        <v>46077</v>
      </c>
      <c r="IJ26" s="6">
        <v>495328.38812832203</v>
      </c>
      <c r="IK26" s="6">
        <f t="shared" si="118"/>
        <v>1249.6049967979177</v>
      </c>
      <c r="IL26" s="6">
        <v>473316.82399151602</v>
      </c>
      <c r="IM26" s="6">
        <f t="shared" si="119"/>
        <v>1194.0746432144585</v>
      </c>
      <c r="IN26" s="6">
        <f t="shared" si="120"/>
        <v>2443.6796400123762</v>
      </c>
      <c r="IO26" s="6"/>
      <c r="IP26" s="6">
        <f t="shared" si="121"/>
        <v>22011.564136806002</v>
      </c>
      <c r="IQ26" s="6">
        <f t="shared" si="122"/>
        <v>55.530353583459167</v>
      </c>
      <c r="IR26" s="6">
        <v>1.91926971</v>
      </c>
      <c r="IS26" s="6">
        <f t="shared" si="123"/>
        <v>1167.5109572900999</v>
      </c>
      <c r="IT26" s="6">
        <v>2.0906208500000001</v>
      </c>
      <c r="IU26" s="6">
        <f t="shared" si="124"/>
        <v>1271.7455692634999</v>
      </c>
      <c r="IV26" s="6">
        <f t="shared" si="125"/>
        <v>-104.23461197340004</v>
      </c>
      <c r="IX26" s="5">
        <v>46077</v>
      </c>
      <c r="IY26" s="6">
        <v>604335.68206885201</v>
      </c>
      <c r="IZ26" s="6">
        <f t="shared" si="126"/>
        <v>1524.6065159117722</v>
      </c>
      <c r="JA26" s="6">
        <v>604271.28564224008</v>
      </c>
      <c r="JB26" s="6">
        <f t="shared" si="127"/>
        <v>1524.4440578366875</v>
      </c>
      <c r="JC26" s="6">
        <f t="shared" si="128"/>
        <v>3049.05057374846</v>
      </c>
      <c r="JD26" s="6"/>
      <c r="JE26" s="6">
        <f t="shared" si="129"/>
        <v>64.396426611929201</v>
      </c>
      <c r="JF26" s="6">
        <f t="shared" si="130"/>
        <v>0.16245807508482671</v>
      </c>
      <c r="JG26" s="6">
        <v>11.93984122</v>
      </c>
      <c r="JH26" s="6">
        <f t="shared" si="131"/>
        <v>1493.7935350342</v>
      </c>
      <c r="JI26" s="6">
        <v>12.182178800000001</v>
      </c>
      <c r="JJ26" s="6">
        <f t="shared" si="132"/>
        <v>1524.1123896680001</v>
      </c>
      <c r="JK26" s="6">
        <f t="shared" si="133"/>
        <v>-30.318854633800118</v>
      </c>
      <c r="JM26" s="5">
        <v>46077</v>
      </c>
      <c r="JN26" s="6">
        <v>604288.57558997395</v>
      </c>
      <c r="JO26" s="6">
        <f t="shared" si="134"/>
        <v>1524.4876765865927</v>
      </c>
      <c r="JP26" s="6">
        <v>578428.99324749294</v>
      </c>
      <c r="JQ26" s="6">
        <f t="shared" si="135"/>
        <v>1459.2496161710044</v>
      </c>
      <c r="JR26" s="6">
        <f t="shared" si="136"/>
        <v>2983.7372927575971</v>
      </c>
      <c r="JS26" s="6"/>
      <c r="JT26" s="6">
        <f t="shared" si="137"/>
        <v>25859.582342481008</v>
      </c>
      <c r="JU26" s="6">
        <f t="shared" si="138"/>
        <v>65.23806041558835</v>
      </c>
      <c r="JV26" s="6">
        <v>11.42455195</v>
      </c>
      <c r="JW26" s="6">
        <f t="shared" si="139"/>
        <v>1429.3256944645</v>
      </c>
      <c r="JX26" s="6">
        <v>12.182178800000001</v>
      </c>
      <c r="JY26" s="6">
        <f t="shared" si="140"/>
        <v>1524.1123896680001</v>
      </c>
      <c r="JZ26" s="6">
        <f t="shared" si="141"/>
        <v>-94.786695203500145</v>
      </c>
      <c r="KB26" s="5">
        <v>46077</v>
      </c>
      <c r="KC26" s="6">
        <v>604345.13932071801</v>
      </c>
      <c r="KD26" s="6">
        <f t="shared" si="142"/>
        <v>1524.6303744861466</v>
      </c>
      <c r="KE26" s="6">
        <v>597432.11152630707</v>
      </c>
      <c r="KF26" s="6">
        <f t="shared" si="143"/>
        <v>1507.1903200052375</v>
      </c>
      <c r="KG26" s="6">
        <f t="shared" si="144"/>
        <v>3031.8206944913841</v>
      </c>
      <c r="KH26" s="6"/>
      <c r="KI26" s="6">
        <f t="shared" si="145"/>
        <v>6913.0277944109403</v>
      </c>
      <c r="KJ26" s="6">
        <f t="shared" si="146"/>
        <v>17.440054480909048</v>
      </c>
      <c r="KK26" s="6">
        <v>2.1519591710000001</v>
      </c>
      <c r="KL26" s="6">
        <f t="shared" si="147"/>
        <v>1483.0657018780701</v>
      </c>
      <c r="KM26" s="6">
        <v>2.2198403180000001</v>
      </c>
      <c r="KN26" s="6">
        <f t="shared" si="148"/>
        <v>1529.84735195606</v>
      </c>
      <c r="KO26" s="6">
        <f t="shared" si="149"/>
        <v>-46.781650077990015</v>
      </c>
      <c r="KQ26" s="5">
        <v>46077</v>
      </c>
      <c r="KR26" s="6">
        <v>604310.62131116493</v>
      </c>
      <c r="KS26" s="6">
        <f t="shared" si="150"/>
        <v>1524.5432931109399</v>
      </c>
      <c r="KT26" s="6">
        <v>572736.15681683295</v>
      </c>
      <c r="KU26" s="6">
        <f t="shared" si="151"/>
        <v>1444.887837156911</v>
      </c>
      <c r="KV26" s="6">
        <f t="shared" si="152"/>
        <v>2969.4311302678507</v>
      </c>
      <c r="KW26" s="6"/>
      <c r="KX26" s="6">
        <f t="shared" si="153"/>
        <v>31574.464494331973</v>
      </c>
      <c r="KY26" s="6">
        <f t="shared" si="154"/>
        <v>79.655455954028866</v>
      </c>
      <c r="KZ26" s="6">
        <v>2.0627305909999998</v>
      </c>
      <c r="LA26" s="6">
        <f t="shared" si="155"/>
        <v>1421.5720413994698</v>
      </c>
      <c r="LB26" s="6">
        <v>2.2198403180000001</v>
      </c>
      <c r="LC26" s="6">
        <f t="shared" si="156"/>
        <v>1529.84735195606</v>
      </c>
      <c r="LD26" s="6">
        <f t="shared" si="157"/>
        <v>-108.27531055659024</v>
      </c>
      <c r="LF26" s="5">
        <v>46077</v>
      </c>
      <c r="LG26" s="6">
        <v>605365.57755048701</v>
      </c>
      <c r="LH26" s="6">
        <f t="shared" si="158"/>
        <v>1527.2047165618376</v>
      </c>
      <c r="LI26" s="6">
        <v>586566.22126975295</v>
      </c>
      <c r="LJ26" s="6">
        <f t="shared" si="159"/>
        <v>1479.7780596045066</v>
      </c>
      <c r="LK26" s="6">
        <f t="shared" si="160"/>
        <v>3006.9827761663441</v>
      </c>
      <c r="LL26" s="6"/>
      <c r="LM26" s="6">
        <f t="shared" si="161"/>
        <v>18799.356280734064</v>
      </c>
      <c r="LN26" s="6">
        <f t="shared" si="162"/>
        <v>47.426656957330934</v>
      </c>
      <c r="LO26" s="6">
        <v>23.574065999999998</v>
      </c>
      <c r="LP26" s="6">
        <f t="shared" si="163"/>
        <v>1452.8696875799999</v>
      </c>
      <c r="LQ26" s="6">
        <v>24.81210144000001</v>
      </c>
      <c r="LR26" s="6">
        <f t="shared" si="164"/>
        <v>1529.1698117472006</v>
      </c>
      <c r="LS26" s="6">
        <f t="shared" si="165"/>
        <v>-76.300124167200707</v>
      </c>
      <c r="LU26" s="5">
        <v>46077</v>
      </c>
      <c r="LV26" s="6">
        <v>282736.10304207099</v>
      </c>
      <c r="LW26" s="6">
        <f t="shared" si="166"/>
        <v>713.28124049496864</v>
      </c>
      <c r="LX26" s="6">
        <v>226829.16823723301</v>
      </c>
      <c r="LY26" s="6">
        <f t="shared" si="167"/>
        <v>572.24029319177816</v>
      </c>
      <c r="LZ26" s="6">
        <f t="shared" si="168"/>
        <v>1285.5215336867468</v>
      </c>
      <c r="MA26" s="6"/>
      <c r="MB26" s="6">
        <f t="shared" si="169"/>
        <v>55906.934804837976</v>
      </c>
      <c r="MC26" s="6">
        <f t="shared" si="170"/>
        <v>141.04094730319048</v>
      </c>
      <c r="MD26" s="6">
        <v>9.0596206800000001</v>
      </c>
      <c r="ME26" s="6">
        <f t="shared" si="171"/>
        <v>558.34442250840004</v>
      </c>
      <c r="MF26" s="6">
        <v>11.52679103</v>
      </c>
      <c r="MG26" s="6">
        <f t="shared" si="172"/>
        <v>710.39613117890008</v>
      </c>
      <c r="MH26" s="6">
        <f t="shared" si="173"/>
        <v>-152.05170867050001</v>
      </c>
      <c r="MJ26" s="5">
        <v>46077</v>
      </c>
      <c r="MK26" s="6">
        <v>604254.05713662901</v>
      </c>
      <c r="ML26" s="6">
        <f t="shared" si="174"/>
        <v>1524.4005940917964</v>
      </c>
      <c r="MM26" s="6">
        <v>579890.22720104794</v>
      </c>
      <c r="MN26" s="6">
        <f t="shared" si="175"/>
        <v>1462.9359892794644</v>
      </c>
      <c r="MO26" s="6">
        <f t="shared" si="176"/>
        <v>2987.3365833712605</v>
      </c>
      <c r="MP26" s="6"/>
      <c r="MQ26" s="6">
        <f t="shared" si="177"/>
        <v>24363.829935581074</v>
      </c>
      <c r="MR26" s="6">
        <f t="shared" si="178"/>
        <v>61.464604812332169</v>
      </c>
      <c r="MS26" s="6">
        <v>4.5548730399999986</v>
      </c>
      <c r="MT26" s="6">
        <f t="shared" si="179"/>
        <v>1417.8864286215996</v>
      </c>
      <c r="MU26" s="6">
        <v>4.8395997700000004</v>
      </c>
      <c r="MV26" s="6">
        <f t="shared" si="180"/>
        <v>1506.5190124033002</v>
      </c>
      <c r="MW26" s="6">
        <f t="shared" si="181"/>
        <v>-88.632583781700575</v>
      </c>
      <c r="MY26" s="5">
        <v>46077</v>
      </c>
      <c r="MZ26" s="6">
        <v>604186.84667226695</v>
      </c>
      <c r="NA26" s="6">
        <f t="shared" si="182"/>
        <v>1524.2310368160238</v>
      </c>
      <c r="NB26" s="6">
        <v>584195.91589785879</v>
      </c>
      <c r="NC26" s="6">
        <f t="shared" si="183"/>
        <v>1473.7982984851246</v>
      </c>
      <c r="ND26" s="6">
        <f t="shared" si="184"/>
        <v>2998.0293353011484</v>
      </c>
      <c r="NE26" s="6"/>
      <c r="NF26" s="6">
        <f t="shared" si="185"/>
        <v>19990.93077440816</v>
      </c>
      <c r="NG26" s="6">
        <f t="shared" si="186"/>
        <v>50.43273833089912</v>
      </c>
      <c r="NH26" s="6">
        <v>4.5828525600000001</v>
      </c>
      <c r="NI26" s="6">
        <f t="shared" si="187"/>
        <v>1426.5961734024002</v>
      </c>
      <c r="NJ26" s="6">
        <v>4.8395997700000004</v>
      </c>
      <c r="NK26" s="6">
        <f t="shared" si="188"/>
        <v>1506.5190124033002</v>
      </c>
      <c r="NL26" s="6">
        <f t="shared" si="189"/>
        <v>-79.922839000900112</v>
      </c>
      <c r="NN26" s="5">
        <v>46077</v>
      </c>
      <c r="NO26" s="6">
        <v>627000.22593109193</v>
      </c>
      <c r="NP26" s="6">
        <f t="shared" si="190"/>
        <v>1581.7841942746434</v>
      </c>
      <c r="NQ26" s="6">
        <v>614421.40203199699</v>
      </c>
      <c r="NR26" s="6">
        <f t="shared" si="191"/>
        <v>1550.0505775975432</v>
      </c>
      <c r="NS26" s="6">
        <f t="shared" si="192"/>
        <v>3131.8347718721866</v>
      </c>
      <c r="NT26" s="6"/>
      <c r="NU26" s="6">
        <f t="shared" si="193"/>
        <v>12578.823899094947</v>
      </c>
      <c r="NV26" s="6">
        <f t="shared" si="194"/>
        <v>31.733616677100262</v>
      </c>
      <c r="NW26" s="6">
        <v>233744.826007</v>
      </c>
      <c r="NX26" s="6">
        <f t="shared" si="195"/>
        <v>1507.6541277451499</v>
      </c>
      <c r="NY26" s="6">
        <v>248361.77830100001</v>
      </c>
      <c r="NZ26" s="6">
        <f t="shared" si="196"/>
        <v>1601.9334700414502</v>
      </c>
      <c r="OA26" s="6">
        <f t="shared" si="197"/>
        <v>-94.279342296300115</v>
      </c>
      <c r="OC26" s="5">
        <v>46077</v>
      </c>
      <c r="OD26" s="6">
        <v>630405.34684083401</v>
      </c>
      <c r="OE26" s="6">
        <f t="shared" si="198"/>
        <v>1590.3745682679314</v>
      </c>
      <c r="OF26" s="6">
        <v>614435.47662735288</v>
      </c>
      <c r="OG26" s="6">
        <f t="shared" si="199"/>
        <v>1550.0860847178822</v>
      </c>
      <c r="OH26" s="6">
        <f t="shared" si="200"/>
        <v>3140.4606529858138</v>
      </c>
      <c r="OI26" s="6"/>
      <c r="OJ26" s="6">
        <f t="shared" si="201"/>
        <v>15969.870213481132</v>
      </c>
      <c r="OK26" s="6">
        <f t="shared" si="202"/>
        <v>40.288483550049122</v>
      </c>
      <c r="OL26" s="6">
        <v>233738.81421700001</v>
      </c>
      <c r="OM26" s="6">
        <f t="shared" si="203"/>
        <v>1507.6153516996501</v>
      </c>
      <c r="ON26" s="6">
        <v>249744.983026</v>
      </c>
      <c r="OO26" s="6">
        <f t="shared" si="204"/>
        <v>1610.8551405177</v>
      </c>
      <c r="OP26" s="6">
        <f t="shared" si="205"/>
        <v>-103.23978881804997</v>
      </c>
    </row>
    <row r="27" spans="1:406" x14ac:dyDescent="0.2">
      <c r="A27" s="5">
        <v>46078</v>
      </c>
      <c r="B27" s="10">
        <v>181.27</v>
      </c>
      <c r="C27" s="6">
        <v>76.290000000000006</v>
      </c>
      <c r="D27" s="6">
        <v>195.95</v>
      </c>
      <c r="E27" s="6">
        <v>475.12</v>
      </c>
      <c r="F27" s="6">
        <v>414.91</v>
      </c>
      <c r="G27" s="2">
        <v>1.8799999999999999E-3</v>
      </c>
      <c r="H27" s="6">
        <v>3.528</v>
      </c>
      <c r="I27" s="6">
        <v>616.76</v>
      </c>
      <c r="J27" s="6">
        <v>134.03</v>
      </c>
      <c r="K27" s="6">
        <v>693.17</v>
      </c>
      <c r="L27" s="6">
        <v>81.25</v>
      </c>
      <c r="M27" s="6">
        <v>312.57</v>
      </c>
      <c r="N27" s="6">
        <v>7.2399999999999999E-3</v>
      </c>
      <c r="O27" s="6">
        <v>87.963999999999999</v>
      </c>
      <c r="P27" s="7">
        <v>3.0880000000000002E-5</v>
      </c>
      <c r="R27" s="5">
        <v>46078</v>
      </c>
      <c r="S27" s="6">
        <v>577000.36794371111</v>
      </c>
      <c r="T27" s="6">
        <f t="shared" si="0"/>
        <v>1567.3224400959227</v>
      </c>
      <c r="U27" s="6">
        <v>558174.175859579</v>
      </c>
      <c r="V27" s="6">
        <f t="shared" si="1"/>
        <v>1516.1843213800348</v>
      </c>
      <c r="W27" s="6">
        <f t="shared" si="2"/>
        <v>3083.5067614759573</v>
      </c>
      <c r="X27" s="6"/>
      <c r="Y27" s="6">
        <f t="shared" si="3"/>
        <v>18826.192084132112</v>
      </c>
      <c r="Z27" s="6">
        <f t="shared" si="4"/>
        <v>51.138118715887884</v>
      </c>
      <c r="AA27" s="6">
        <v>8.3530048299999997</v>
      </c>
      <c r="AB27" s="6">
        <f t="shared" si="5"/>
        <v>1514.1491855341001</v>
      </c>
      <c r="AC27" s="6">
        <v>8.8072682499999999</v>
      </c>
      <c r="AD27" s="6">
        <f t="shared" si="6"/>
        <v>1596.4935156775</v>
      </c>
      <c r="AE27" s="6">
        <f t="shared" si="7"/>
        <v>-82.344330143400043</v>
      </c>
      <c r="AG27" s="5">
        <v>46078</v>
      </c>
      <c r="AH27" s="6">
        <v>576957.65517306002</v>
      </c>
      <c r="AI27" s="6">
        <f t="shared" si="8"/>
        <v>1567.2064181873775</v>
      </c>
      <c r="AJ27" s="6">
        <v>564854.03510035388</v>
      </c>
      <c r="AK27" s="6">
        <f t="shared" si="9"/>
        <v>1534.3290122093654</v>
      </c>
      <c r="AL27" s="6">
        <f t="shared" si="10"/>
        <v>3101.5354303967429</v>
      </c>
      <c r="AM27" s="6"/>
      <c r="AN27" s="6">
        <f t="shared" si="11"/>
        <v>12103.620072706137</v>
      </c>
      <c r="AO27" s="6">
        <f t="shared" si="12"/>
        <v>32.877405978012142</v>
      </c>
      <c r="AP27" s="6">
        <v>8.4416795400000009</v>
      </c>
      <c r="AQ27" s="6">
        <f t="shared" si="13"/>
        <v>1530.2232502158001</v>
      </c>
      <c r="AR27" s="6">
        <v>8.8072682499999999</v>
      </c>
      <c r="AS27" s="6">
        <f t="shared" si="14"/>
        <v>1596.4935156775</v>
      </c>
      <c r="AT27" s="6">
        <f t="shared" si="15"/>
        <v>-66.270265461699836</v>
      </c>
      <c r="AV27" s="5">
        <v>46078</v>
      </c>
      <c r="AW27" s="6">
        <v>579397.961983638</v>
      </c>
      <c r="AX27" s="6">
        <f t="shared" si="16"/>
        <v>1573.8350926864396</v>
      </c>
      <c r="AY27" s="6">
        <v>589821.45849414903</v>
      </c>
      <c r="AZ27" s="6">
        <f t="shared" si="17"/>
        <v>1602.1487314513615</v>
      </c>
      <c r="BA27" s="6">
        <f t="shared" si="18"/>
        <v>3175.9838241378011</v>
      </c>
      <c r="BB27" s="6"/>
      <c r="BC27" s="6">
        <f t="shared" si="206"/>
        <v>-10423.496510511031</v>
      </c>
      <c r="BD27" s="6">
        <f t="shared" si="19"/>
        <v>-28.313638764922295</v>
      </c>
      <c r="BE27" s="6">
        <v>20.0205646</v>
      </c>
      <c r="BF27" s="6">
        <f t="shared" si="20"/>
        <v>1527.3688733340002</v>
      </c>
      <c r="BG27" s="6">
        <v>20.058749250000002</v>
      </c>
      <c r="BH27" s="6">
        <f t="shared" si="21"/>
        <v>1530.2819802825002</v>
      </c>
      <c r="BI27" s="6">
        <f t="shared" si="22"/>
        <v>-2.913106948500122</v>
      </c>
      <c r="BK27" s="5">
        <v>46078</v>
      </c>
      <c r="BL27" s="6">
        <v>579326.45329012303</v>
      </c>
      <c r="BM27" s="6">
        <f t="shared" si="23"/>
        <v>1573.6408515971186</v>
      </c>
      <c r="BN27" s="6">
        <v>567427.0333019821</v>
      </c>
      <c r="BO27" s="6">
        <f t="shared" si="24"/>
        <v>1541.3181200917572</v>
      </c>
      <c r="BP27" s="6">
        <f t="shared" si="25"/>
        <v>3114.9589716888759</v>
      </c>
      <c r="BQ27" s="6"/>
      <c r="BR27" s="6">
        <f t="shared" si="26"/>
        <v>11899.419988140929</v>
      </c>
      <c r="BS27" s="6">
        <f t="shared" si="27"/>
        <v>32.322731505361268</v>
      </c>
      <c r="BT27" s="6">
        <v>19.239209670000001</v>
      </c>
      <c r="BU27" s="6">
        <f t="shared" si="28"/>
        <v>1467.7593057243002</v>
      </c>
      <c r="BV27" s="6">
        <v>20.058749250000002</v>
      </c>
      <c r="BW27" s="6">
        <f t="shared" si="29"/>
        <v>1530.2819802825002</v>
      </c>
      <c r="BX27" s="6">
        <f t="shared" si="30"/>
        <v>-62.522674558200059</v>
      </c>
      <c r="BZ27" s="5">
        <v>46078</v>
      </c>
      <c r="CA27" s="6">
        <v>586658.58012288401</v>
      </c>
      <c r="CB27" s="6">
        <f t="shared" si="31"/>
        <v>1593.5573153587791</v>
      </c>
      <c r="CC27" s="6">
        <v>585851.35737579502</v>
      </c>
      <c r="CD27" s="6">
        <f t="shared" si="32"/>
        <v>1591.3646333503132</v>
      </c>
      <c r="CE27" s="6">
        <f t="shared" si="33"/>
        <v>3184.9219487090922</v>
      </c>
      <c r="CF27" s="6"/>
      <c r="CG27" s="6">
        <f t="shared" si="34"/>
        <v>807.22274708899204</v>
      </c>
      <c r="CH27" s="6">
        <f t="shared" si="35"/>
        <v>2.1926820084660266</v>
      </c>
      <c r="CI27" s="6">
        <v>7.6520355599999998</v>
      </c>
      <c r="CJ27" s="6">
        <f t="shared" si="36"/>
        <v>1499.4163679819999</v>
      </c>
      <c r="CK27" s="6">
        <v>7.8161368199999997</v>
      </c>
      <c r="CL27" s="6">
        <f t="shared" si="37"/>
        <v>1531.5720098789998</v>
      </c>
      <c r="CM27" s="6">
        <f t="shared" si="38"/>
        <v>-32.15564189699996</v>
      </c>
      <c r="CO27" s="5">
        <v>46078</v>
      </c>
      <c r="CP27" s="6">
        <v>569942.90953196306</v>
      </c>
      <c r="CQ27" s="6">
        <f t="shared" si="39"/>
        <v>1548.1520659448693</v>
      </c>
      <c r="CR27" s="6">
        <v>585851.35737579502</v>
      </c>
      <c r="CS27" s="6">
        <f t="shared" si="40"/>
        <v>1591.3646333503132</v>
      </c>
      <c r="CT27" s="6">
        <f t="shared" si="41"/>
        <v>3139.5166992951827</v>
      </c>
      <c r="CU27" s="6"/>
      <c r="CV27" s="6">
        <f t="shared" si="42"/>
        <v>-15908.447843831964</v>
      </c>
      <c r="CW27" s="6">
        <f t="shared" si="43"/>
        <v>-43.212567405443707</v>
      </c>
      <c r="CX27" s="6">
        <v>7.6514657000000001</v>
      </c>
      <c r="CY27" s="6">
        <f t="shared" si="44"/>
        <v>1499.3047039149999</v>
      </c>
      <c r="CZ27" s="6">
        <v>7.5939703299999994</v>
      </c>
      <c r="DA27" s="6">
        <f t="shared" si="45"/>
        <v>1488.0384861634998</v>
      </c>
      <c r="DB27" s="6">
        <f t="shared" si="46"/>
        <v>11.26621775150014</v>
      </c>
      <c r="DD27" s="5">
        <v>46078</v>
      </c>
      <c r="DE27" s="6">
        <v>576922.91047647502</v>
      </c>
      <c r="DF27" s="6">
        <f t="shared" si="47"/>
        <v>1567.1120401840737</v>
      </c>
      <c r="DG27" s="6">
        <v>602170.22144498408</v>
      </c>
      <c r="DH27" s="6">
        <f t="shared" si="48"/>
        <v>1635.6920259716815</v>
      </c>
      <c r="DI27" s="6">
        <f t="shared" si="49"/>
        <v>3202.8040661557552</v>
      </c>
      <c r="DJ27" s="6"/>
      <c r="DK27" s="6">
        <f t="shared" si="50"/>
        <v>-25247.31096850906</v>
      </c>
      <c r="DL27" s="6">
        <f t="shared" si="51"/>
        <v>-68.579985787607797</v>
      </c>
      <c r="DM27" s="6">
        <v>3.21651986</v>
      </c>
      <c r="DN27" s="6">
        <f t="shared" si="52"/>
        <v>1528.2329158832001</v>
      </c>
      <c r="DO27" s="6">
        <v>3.1441124500000002</v>
      </c>
      <c r="DP27" s="6">
        <f t="shared" si="53"/>
        <v>1493.830707244</v>
      </c>
      <c r="DQ27" s="6">
        <f t="shared" si="54"/>
        <v>34.402208639199927</v>
      </c>
      <c r="DS27" s="5">
        <v>46078</v>
      </c>
      <c r="DT27" s="6">
        <v>576904.95868621301</v>
      </c>
      <c r="DU27" s="6">
        <f t="shared" si="55"/>
        <v>1567.0632772277906</v>
      </c>
      <c r="DV27" s="6">
        <v>565303.46889879706</v>
      </c>
      <c r="DW27" s="6">
        <f t="shared" si="56"/>
        <v>1535.5498219640417</v>
      </c>
      <c r="DX27" s="6">
        <f t="shared" si="57"/>
        <v>3102.6130991918326</v>
      </c>
      <c r="DY27" s="6"/>
      <c r="DZ27" s="6">
        <f t="shared" si="58"/>
        <v>11601.489787415951</v>
      </c>
      <c r="EA27" s="6">
        <f t="shared" si="59"/>
        <v>31.513455263748728</v>
      </c>
      <c r="EB27" s="6">
        <v>3.01750031</v>
      </c>
      <c r="EC27" s="6">
        <f t="shared" si="60"/>
        <v>1433.6747472872</v>
      </c>
      <c r="ED27" s="6">
        <v>3.1441124500000002</v>
      </c>
      <c r="EE27" s="6">
        <f t="shared" si="61"/>
        <v>1493.830707244</v>
      </c>
      <c r="EF27" s="6">
        <f t="shared" si="62"/>
        <v>-60.155959956800096</v>
      </c>
      <c r="EH27" s="5">
        <v>46078</v>
      </c>
      <c r="EI27" s="6">
        <v>2397251.3261668328</v>
      </c>
      <c r="EJ27" s="6">
        <f t="shared" si="63"/>
        <v>6511.7216674245255</v>
      </c>
      <c r="EK27" s="6">
        <v>2438926.1013306589</v>
      </c>
      <c r="EL27" s="6">
        <f t="shared" si="64"/>
        <v>6624.9240394316585</v>
      </c>
      <c r="EM27" s="6">
        <f t="shared" si="65"/>
        <v>13136.645706856183</v>
      </c>
      <c r="EN27" s="6"/>
      <c r="EO27" s="6">
        <f t="shared" si="66"/>
        <v>-41674.775163826067</v>
      </c>
      <c r="EP27" s="6">
        <f t="shared" si="67"/>
        <v>-113.20237200713339</v>
      </c>
      <c r="EQ27" s="6">
        <v>15.267475129999999</v>
      </c>
      <c r="ER27" s="6">
        <f t="shared" si="68"/>
        <v>6334.6281061883001</v>
      </c>
      <c r="ES27" s="6">
        <v>15.075306149999999</v>
      </c>
      <c r="ET27" s="6">
        <f t="shared" si="69"/>
        <v>6254.8952746965006</v>
      </c>
      <c r="EU27" s="6">
        <f t="shared" si="70"/>
        <v>79.732831491799971</v>
      </c>
      <c r="EW27" s="5">
        <v>46078</v>
      </c>
      <c r="EX27" s="6">
        <v>2389300.9555745078</v>
      </c>
      <c r="EY27" s="6">
        <f t="shared" si="71"/>
        <v>6490.1258506300983</v>
      </c>
      <c r="EZ27" s="6">
        <v>2438926.1013306589</v>
      </c>
      <c r="FA27" s="6">
        <f t="shared" si="72"/>
        <v>6624.9240394316585</v>
      </c>
      <c r="FB27" s="6">
        <f t="shared" si="73"/>
        <v>13115.049890061757</v>
      </c>
      <c r="FC27" s="6"/>
      <c r="FD27" s="6">
        <f t="shared" si="74"/>
        <v>-49625.145756151062</v>
      </c>
      <c r="FE27" s="6">
        <f t="shared" si="75"/>
        <v>-134.79818880156094</v>
      </c>
      <c r="FF27" s="6">
        <v>15.259787660000001</v>
      </c>
      <c r="FG27" s="6">
        <f t="shared" si="76"/>
        <v>6331.4384980106006</v>
      </c>
      <c r="FH27" s="6">
        <v>15.052533439999999</v>
      </c>
      <c r="FI27" s="6">
        <f t="shared" si="77"/>
        <v>6245.4466495903998</v>
      </c>
      <c r="FJ27" s="6">
        <f t="shared" si="78"/>
        <v>85.991848420200483</v>
      </c>
      <c r="FL27" s="5">
        <v>46078</v>
      </c>
      <c r="FM27" s="6">
        <v>462976.43597631803</v>
      </c>
      <c r="FN27" s="6">
        <f t="shared" si="79"/>
        <v>1257.5960045351396</v>
      </c>
      <c r="FO27" s="6">
        <v>484593.47586557601</v>
      </c>
      <c r="FP27" s="6">
        <f t="shared" si="80"/>
        <v>1316.3149821809009</v>
      </c>
      <c r="FQ27" s="6">
        <f t="shared" si="81"/>
        <v>2573.9109867160405</v>
      </c>
      <c r="FR27" s="6"/>
      <c r="FS27" s="6">
        <f t="shared" si="82"/>
        <v>-21617.039889257983</v>
      </c>
      <c r="FT27" s="6">
        <f t="shared" si="83"/>
        <v>-58.718977645761129</v>
      </c>
      <c r="FU27" s="6">
        <v>681493.54624599998</v>
      </c>
      <c r="FV27" s="6">
        <f t="shared" si="84"/>
        <v>1281.20786694248</v>
      </c>
      <c r="FW27" s="6">
        <v>678298.96201100003</v>
      </c>
      <c r="FX27" s="6">
        <f t="shared" si="85"/>
        <v>1275.20204858068</v>
      </c>
      <c r="FY27" s="6">
        <f t="shared" si="86"/>
        <v>6.0058183617999212</v>
      </c>
      <c r="GA27" s="5">
        <v>46078</v>
      </c>
      <c r="GB27" s="6">
        <v>476498.74940363201</v>
      </c>
      <c r="GC27" s="6">
        <f t="shared" si="87"/>
        <v>1294.3270474496687</v>
      </c>
      <c r="GD27" s="6">
        <v>484593.47586557601</v>
      </c>
      <c r="GE27" s="6">
        <f t="shared" si="88"/>
        <v>1316.3149821809009</v>
      </c>
      <c r="GF27" s="6">
        <f t="shared" si="89"/>
        <v>2610.6420296305696</v>
      </c>
      <c r="GG27" s="6"/>
      <c r="GH27" s="6">
        <f t="shared" si="90"/>
        <v>-8094.7264619439957</v>
      </c>
      <c r="GI27" s="6">
        <f t="shared" si="91"/>
        <v>-21.987934731231881</v>
      </c>
      <c r="GJ27" s="6">
        <v>681390.30758400005</v>
      </c>
      <c r="GK27" s="6">
        <f t="shared" si="92"/>
        <v>1281.01377825792</v>
      </c>
      <c r="GL27" s="6">
        <v>698963.14879300003</v>
      </c>
      <c r="GM27" s="6">
        <f t="shared" si="93"/>
        <v>1314.05071973084</v>
      </c>
      <c r="GN27" s="6">
        <f t="shared" si="94"/>
        <v>-33.036941472919956</v>
      </c>
      <c r="GP27" s="5">
        <v>46078</v>
      </c>
      <c r="GQ27" s="6">
        <v>467143.46822806599</v>
      </c>
      <c r="GR27" s="6">
        <f t="shared" si="95"/>
        <v>1268.9150322509158</v>
      </c>
      <c r="GS27" s="6">
        <v>490324.908414601</v>
      </c>
      <c r="GT27" s="6">
        <f t="shared" si="96"/>
        <v>1331.8834347279869</v>
      </c>
      <c r="GU27" s="6">
        <f t="shared" si="97"/>
        <v>2600.798466978903</v>
      </c>
      <c r="GV27" s="6"/>
      <c r="GW27" s="6">
        <f t="shared" si="98"/>
        <v>-23181.440186535008</v>
      </c>
      <c r="GX27" s="6">
        <f t="shared" si="99"/>
        <v>-62.96840247707113</v>
      </c>
      <c r="GY27" s="6">
        <v>353.56819300000001</v>
      </c>
      <c r="GZ27" s="6">
        <f t="shared" si="100"/>
        <v>1247.388584904</v>
      </c>
      <c r="HA27" s="6">
        <v>350.77211499999999</v>
      </c>
      <c r="HB27" s="6">
        <f t="shared" si="101"/>
        <v>1237.5240217200001</v>
      </c>
      <c r="HC27" s="6">
        <f t="shared" si="207"/>
        <v>9.8645631840000796</v>
      </c>
      <c r="HE27" s="5">
        <v>46078</v>
      </c>
      <c r="HF27" s="6">
        <v>486686.69504856202</v>
      </c>
      <c r="HG27" s="6">
        <f t="shared" si="102"/>
        <v>1322.0008527276129</v>
      </c>
      <c r="HH27" s="6">
        <v>490324.908414601</v>
      </c>
      <c r="HI27" s="6">
        <f t="shared" si="103"/>
        <v>1331.8834347279869</v>
      </c>
      <c r="HJ27" s="6">
        <f t="shared" si="104"/>
        <v>2653.8842874555999</v>
      </c>
      <c r="HK27" s="6"/>
      <c r="HL27" s="6">
        <f t="shared" si="105"/>
        <v>-3638.2133660389809</v>
      </c>
      <c r="HM27" s="6">
        <f t="shared" si="106"/>
        <v>-9.8825820003742102</v>
      </c>
      <c r="HN27" s="6">
        <v>353.550432</v>
      </c>
      <c r="HO27" s="6">
        <f t="shared" si="107"/>
        <v>1247.3259240960001</v>
      </c>
      <c r="HP27" s="6">
        <v>365.49653799999999</v>
      </c>
      <c r="HQ27" s="6">
        <f t="shared" si="108"/>
        <v>1289.4717860640001</v>
      </c>
      <c r="HR27" s="6">
        <f t="shared" si="109"/>
        <v>-42.145861967999949</v>
      </c>
      <c r="HT27" s="5">
        <v>46078</v>
      </c>
      <c r="HU27" s="6">
        <v>481892.58283923002</v>
      </c>
      <c r="HV27" s="6">
        <f t="shared" si="110"/>
        <v>1308.9784699641466</v>
      </c>
      <c r="HW27" s="6">
        <v>469522.49420026602</v>
      </c>
      <c r="HX27" s="6">
        <f t="shared" si="111"/>
        <v>1275.3772478732185</v>
      </c>
      <c r="HY27" s="6">
        <f t="shared" si="112"/>
        <v>2584.3557178373649</v>
      </c>
      <c r="HZ27" s="6"/>
      <c r="IA27" s="6">
        <f t="shared" si="113"/>
        <v>12370.088638963993</v>
      </c>
      <c r="IB27" s="6">
        <f t="shared" si="114"/>
        <v>33.601222090928147</v>
      </c>
      <c r="IC27" s="6">
        <v>1.9153632599999999</v>
      </c>
      <c r="ID27" s="6">
        <f t="shared" si="115"/>
        <v>1181.3194442376</v>
      </c>
      <c r="IE27" s="6">
        <v>2.0476487400000001</v>
      </c>
      <c r="IF27" s="6">
        <f t="shared" si="116"/>
        <v>1262.9078368824</v>
      </c>
      <c r="IG27" s="6">
        <f t="shared" si="117"/>
        <v>-81.588392644800109</v>
      </c>
      <c r="II27" s="5">
        <v>46078</v>
      </c>
      <c r="IJ27" s="6">
        <v>481868.98412920302</v>
      </c>
      <c r="IK27" s="6">
        <f t="shared" si="118"/>
        <v>1308.9143681197847</v>
      </c>
      <c r="IL27" s="6">
        <v>493890.056860157</v>
      </c>
      <c r="IM27" s="6">
        <f t="shared" si="119"/>
        <v>1341.5675484156548</v>
      </c>
      <c r="IN27" s="6">
        <f t="shared" si="120"/>
        <v>2650.4819165354393</v>
      </c>
      <c r="IO27" s="6"/>
      <c r="IP27" s="6">
        <f t="shared" si="121"/>
        <v>-12021.07273095398</v>
      </c>
      <c r="IQ27" s="6">
        <f t="shared" si="122"/>
        <v>-32.653180295870037</v>
      </c>
      <c r="IR27" s="6">
        <v>2.0124983400000001</v>
      </c>
      <c r="IS27" s="6">
        <f t="shared" si="123"/>
        <v>1241.2284761784001</v>
      </c>
      <c r="IT27" s="6">
        <v>2.0476487400000001</v>
      </c>
      <c r="IU27" s="6">
        <f t="shared" si="124"/>
        <v>1262.9078368824</v>
      </c>
      <c r="IV27" s="6">
        <f t="shared" si="125"/>
        <v>-21.679360704000015</v>
      </c>
      <c r="IX27" s="5">
        <v>46078</v>
      </c>
      <c r="IY27" s="6">
        <v>579402.23569520505</v>
      </c>
      <c r="IZ27" s="6">
        <f t="shared" si="126"/>
        <v>1573.8467014902005</v>
      </c>
      <c r="JA27" s="6">
        <v>578735.93296348094</v>
      </c>
      <c r="JB27" s="6">
        <f t="shared" si="127"/>
        <v>1572.0368045103248</v>
      </c>
      <c r="JC27" s="6">
        <f t="shared" si="128"/>
        <v>3145.8835060005254</v>
      </c>
      <c r="JD27" s="6"/>
      <c r="JE27" s="6">
        <f t="shared" si="129"/>
        <v>666.30273172410671</v>
      </c>
      <c r="JF27" s="6">
        <f t="shared" si="130"/>
        <v>1.8098969798755535</v>
      </c>
      <c r="JG27" s="6">
        <v>11.306952860000001</v>
      </c>
      <c r="JH27" s="6">
        <f t="shared" si="131"/>
        <v>1515.4708918258002</v>
      </c>
      <c r="JI27" s="6">
        <v>11.55844228</v>
      </c>
      <c r="JJ27" s="6">
        <f t="shared" si="132"/>
        <v>1549.1780187883999</v>
      </c>
      <c r="JK27" s="6">
        <f t="shared" si="133"/>
        <v>-33.707126962599816</v>
      </c>
      <c r="JM27" s="5">
        <v>46078</v>
      </c>
      <c r="JN27" s="6">
        <v>579356.63868381898</v>
      </c>
      <c r="JO27" s="6">
        <f t="shared" si="134"/>
        <v>1573.7228450368652</v>
      </c>
      <c r="JP27" s="6">
        <v>577872.90002751211</v>
      </c>
      <c r="JQ27" s="6">
        <f t="shared" si="135"/>
        <v>1569.6925237052599</v>
      </c>
      <c r="JR27" s="6">
        <f t="shared" si="136"/>
        <v>3143.4153687421249</v>
      </c>
      <c r="JS27" s="6"/>
      <c r="JT27" s="6">
        <f t="shared" si="137"/>
        <v>1483.7386563068721</v>
      </c>
      <c r="JU27" s="6">
        <f t="shared" si="138"/>
        <v>4.0303213316051041</v>
      </c>
      <c r="JV27" s="6">
        <v>11.293074349999999</v>
      </c>
      <c r="JW27" s="6">
        <f t="shared" si="139"/>
        <v>1513.6107551304999</v>
      </c>
      <c r="JX27" s="6">
        <v>11.55844228</v>
      </c>
      <c r="JY27" s="6">
        <f t="shared" si="140"/>
        <v>1549.1780187883999</v>
      </c>
      <c r="JZ27" s="6">
        <f t="shared" si="141"/>
        <v>-35.567263657900007</v>
      </c>
      <c r="KB27" s="5">
        <v>46078</v>
      </c>
      <c r="KC27" s="6">
        <v>579207.99673553894</v>
      </c>
      <c r="KD27" s="6">
        <f t="shared" si="142"/>
        <v>1573.3190847032122</v>
      </c>
      <c r="KE27" s="6">
        <v>596189.32834948599</v>
      </c>
      <c r="KF27" s="6">
        <f t="shared" si="143"/>
        <v>1619.4459566774876</v>
      </c>
      <c r="KG27" s="6">
        <f t="shared" si="144"/>
        <v>3192.7650413806996</v>
      </c>
      <c r="KH27" s="6"/>
      <c r="KI27" s="6">
        <f t="shared" si="145"/>
        <v>-16981.331613947055</v>
      </c>
      <c r="KJ27" s="6">
        <f t="shared" si="146"/>
        <v>-46.126871974275694</v>
      </c>
      <c r="KK27" s="6">
        <v>2.2298528100000001</v>
      </c>
      <c r="KL27" s="6">
        <f t="shared" si="147"/>
        <v>1545.6670723077</v>
      </c>
      <c r="KM27" s="6">
        <v>2.2097555209999999</v>
      </c>
      <c r="KN27" s="6">
        <f t="shared" si="148"/>
        <v>1531.7362344915698</v>
      </c>
      <c r="KO27" s="6">
        <f t="shared" si="149"/>
        <v>13.930837816130127</v>
      </c>
      <c r="KQ27" s="5">
        <v>46078</v>
      </c>
      <c r="KR27" s="6">
        <v>576963.20372920809</v>
      </c>
      <c r="KS27" s="6">
        <f t="shared" si="150"/>
        <v>1567.2214898875775</v>
      </c>
      <c r="KT27" s="6">
        <v>575913.77143190196</v>
      </c>
      <c r="KU27" s="6">
        <f t="shared" si="151"/>
        <v>1564.3708872184823</v>
      </c>
      <c r="KV27" s="6">
        <f t="shared" si="152"/>
        <v>3131.5923771060598</v>
      </c>
      <c r="KW27" s="6"/>
      <c r="KX27" s="6">
        <f t="shared" si="153"/>
        <v>1049.4322973061353</v>
      </c>
      <c r="KY27" s="6">
        <f t="shared" si="154"/>
        <v>2.8506026690953155</v>
      </c>
      <c r="KZ27" s="6">
        <v>2.1509109469999999</v>
      </c>
      <c r="LA27" s="6">
        <f t="shared" si="155"/>
        <v>1490.9469411319899</v>
      </c>
      <c r="LB27" s="6">
        <v>2.200921079</v>
      </c>
      <c r="LC27" s="6">
        <f t="shared" si="156"/>
        <v>1525.6124643304299</v>
      </c>
      <c r="LD27" s="6">
        <f t="shared" si="157"/>
        <v>-34.665523198440106</v>
      </c>
      <c r="LF27" s="5">
        <v>46078</v>
      </c>
      <c r="LG27" s="6">
        <v>424565.33743655297</v>
      </c>
      <c r="LH27" s="6">
        <f t="shared" si="158"/>
        <v>1153.2588497692652</v>
      </c>
      <c r="LI27" s="6">
        <v>407489.646097077</v>
      </c>
      <c r="LJ27" s="6">
        <f t="shared" si="159"/>
        <v>1106.8756658002678</v>
      </c>
      <c r="LK27" s="6">
        <f t="shared" si="160"/>
        <v>2260.1345155695331</v>
      </c>
      <c r="LL27" s="6"/>
      <c r="LM27" s="6">
        <f t="shared" si="161"/>
        <v>17075.691339475976</v>
      </c>
      <c r="LN27" s="6">
        <f t="shared" si="162"/>
        <v>46.383183968997329</v>
      </c>
      <c r="LO27" s="6">
        <v>15.71495747</v>
      </c>
      <c r="LP27" s="6">
        <f t="shared" si="163"/>
        <v>1276.8402944375</v>
      </c>
      <c r="LQ27" s="6">
        <v>16.68911847</v>
      </c>
      <c r="LR27" s="6">
        <f t="shared" si="164"/>
        <v>1355.9908756875</v>
      </c>
      <c r="LS27" s="6">
        <f t="shared" si="165"/>
        <v>-79.150581250000045</v>
      </c>
      <c r="LU27" s="5">
        <v>46078</v>
      </c>
      <c r="LV27" s="6">
        <v>396559.28578075487</v>
      </c>
      <c r="LW27" s="6">
        <f t="shared" si="166"/>
        <v>1077.1852185252378</v>
      </c>
      <c r="LX27" s="6">
        <v>407489.646097077</v>
      </c>
      <c r="LY27" s="6">
        <f t="shared" si="167"/>
        <v>1106.8756658002678</v>
      </c>
      <c r="LZ27" s="6">
        <f t="shared" si="168"/>
        <v>2184.0608843255059</v>
      </c>
      <c r="MA27" s="6"/>
      <c r="MB27" s="6">
        <f t="shared" si="169"/>
        <v>-10930.360316322127</v>
      </c>
      <c r="MC27" s="6">
        <f t="shared" si="170"/>
        <v>-29.690447275029953</v>
      </c>
      <c r="MD27" s="6">
        <v>15.712691149999999</v>
      </c>
      <c r="ME27" s="6">
        <f t="shared" si="171"/>
        <v>1276.6561559375</v>
      </c>
      <c r="MF27" s="6">
        <v>15.51816962</v>
      </c>
      <c r="MG27" s="6">
        <f t="shared" si="172"/>
        <v>1260.851281625</v>
      </c>
      <c r="MH27" s="6">
        <f t="shared" si="173"/>
        <v>15.804874312499951</v>
      </c>
      <c r="MJ27" s="5">
        <v>46078</v>
      </c>
      <c r="MK27" s="6">
        <v>579207.32890026795</v>
      </c>
      <c r="ML27" s="6">
        <f t="shared" si="174"/>
        <v>1573.3172706433525</v>
      </c>
      <c r="MM27" s="6">
        <v>597885.210392143</v>
      </c>
      <c r="MN27" s="6">
        <f t="shared" si="175"/>
        <v>1624.0525290973364</v>
      </c>
      <c r="MO27" s="6">
        <f t="shared" si="176"/>
        <v>3197.3697997406889</v>
      </c>
      <c r="MP27" s="6"/>
      <c r="MQ27" s="6">
        <f t="shared" si="177"/>
        <v>-18677.881491875043</v>
      </c>
      <c r="MR27" s="6">
        <f t="shared" si="178"/>
        <v>-50.735258453984038</v>
      </c>
      <c r="MS27" s="6">
        <v>4.8851038899999999</v>
      </c>
      <c r="MT27" s="6">
        <f t="shared" si="179"/>
        <v>1526.9369228972998</v>
      </c>
      <c r="MU27" s="6">
        <v>4.8249470600000004</v>
      </c>
      <c r="MV27" s="6">
        <f t="shared" si="180"/>
        <v>1508.1337025442001</v>
      </c>
      <c r="MW27" s="6">
        <f t="shared" si="181"/>
        <v>18.803220353099842</v>
      </c>
      <c r="MY27" s="5">
        <v>46078</v>
      </c>
      <c r="MZ27" s="6">
        <v>579147.57280410605</v>
      </c>
      <c r="NA27" s="6">
        <f t="shared" si="182"/>
        <v>1573.1549534670553</v>
      </c>
      <c r="NB27" s="6">
        <v>597048.81413511501</v>
      </c>
      <c r="NC27" s="6">
        <f t="shared" si="183"/>
        <v>1621.7806022576292</v>
      </c>
      <c r="ND27" s="6">
        <f t="shared" si="184"/>
        <v>3194.9355557246845</v>
      </c>
      <c r="NE27" s="6"/>
      <c r="NF27" s="6">
        <f t="shared" si="185"/>
        <v>-17901.241331008961</v>
      </c>
      <c r="NG27" s="6">
        <f t="shared" si="186"/>
        <v>-48.625648790574132</v>
      </c>
      <c r="NH27" s="6">
        <v>4.8684366499999996</v>
      </c>
      <c r="NI27" s="6">
        <f t="shared" si="187"/>
        <v>1521.7272436904998</v>
      </c>
      <c r="NJ27" s="6">
        <v>4.8249470600000004</v>
      </c>
      <c r="NK27" s="6">
        <f t="shared" si="188"/>
        <v>1508.1337025442001</v>
      </c>
      <c r="NL27" s="6">
        <f t="shared" si="189"/>
        <v>13.593541146299746</v>
      </c>
      <c r="NN27" s="5">
        <v>46078</v>
      </c>
      <c r="NO27" s="6">
        <v>577611.49389972596</v>
      </c>
      <c r="NP27" s="6">
        <f t="shared" si="190"/>
        <v>1568.9824588373331</v>
      </c>
      <c r="NQ27" s="6">
        <v>578109.79970905907</v>
      </c>
      <c r="NR27" s="6">
        <f t="shared" si="191"/>
        <v>1570.336021019245</v>
      </c>
      <c r="NS27" s="6">
        <f t="shared" si="192"/>
        <v>3139.3184798565781</v>
      </c>
      <c r="NT27" s="6"/>
      <c r="NU27" s="6">
        <f t="shared" si="193"/>
        <v>-498.30580933310557</v>
      </c>
      <c r="NV27" s="6">
        <f t="shared" si="194"/>
        <v>-1.3535621819120351</v>
      </c>
      <c r="NW27" s="6">
        <v>212824.97158700001</v>
      </c>
      <c r="NX27" s="6">
        <f t="shared" si="195"/>
        <v>1540.85279428988</v>
      </c>
      <c r="NY27" s="6">
        <v>221543.74742699999</v>
      </c>
      <c r="NZ27" s="6">
        <f t="shared" si="196"/>
        <v>1603.9767313714799</v>
      </c>
      <c r="OA27" s="6">
        <f t="shared" si="197"/>
        <v>-63.123937081599905</v>
      </c>
      <c r="OC27" s="5">
        <v>46078</v>
      </c>
      <c r="OD27" s="6">
        <v>587955.85906012205</v>
      </c>
      <c r="OE27" s="6">
        <f t="shared" si="198"/>
        <v>1597.0811508749382</v>
      </c>
      <c r="OF27" s="6">
        <v>578109.79970905907</v>
      </c>
      <c r="OG27" s="6">
        <f t="shared" si="199"/>
        <v>1570.336021019245</v>
      </c>
      <c r="OH27" s="6">
        <f t="shared" si="200"/>
        <v>3167.4171718941834</v>
      </c>
      <c r="OI27" s="6"/>
      <c r="OJ27" s="6">
        <f t="shared" si="201"/>
        <v>9846.0593510629842</v>
      </c>
      <c r="OK27" s="6">
        <f t="shared" si="202"/>
        <v>26.745129855693211</v>
      </c>
      <c r="OL27" s="6">
        <v>212816.28853600001</v>
      </c>
      <c r="OM27" s="6">
        <f t="shared" si="203"/>
        <v>1540.7899290006401</v>
      </c>
      <c r="ON27" s="6">
        <v>225360.88412</v>
      </c>
      <c r="OO27" s="6">
        <f t="shared" si="204"/>
        <v>1631.6128010288</v>
      </c>
      <c r="OP27" s="6">
        <f t="shared" si="205"/>
        <v>-90.822872028159964</v>
      </c>
    </row>
    <row r="28" spans="1:406" x14ac:dyDescent="0.2">
      <c r="A28" s="5">
        <v>46079</v>
      </c>
      <c r="B28" s="10">
        <v>180.22</v>
      </c>
      <c r="C28" s="6">
        <v>78.760000000000005</v>
      </c>
      <c r="D28" s="6">
        <v>185.24</v>
      </c>
      <c r="E28" s="6">
        <v>475.95</v>
      </c>
      <c r="F28" s="6">
        <v>406.2</v>
      </c>
      <c r="G28" s="2">
        <v>1.81E-3</v>
      </c>
      <c r="H28" s="6">
        <v>3.468</v>
      </c>
      <c r="I28" s="6">
        <v>608.45000000000005</v>
      </c>
      <c r="J28" s="6">
        <v>133.51</v>
      </c>
      <c r="K28" s="6">
        <v>689.66</v>
      </c>
      <c r="L28" s="6">
        <v>86.08</v>
      </c>
      <c r="M28" s="6">
        <v>308.64999999999998</v>
      </c>
      <c r="N28" s="6">
        <v>6.9499999999999996E-3</v>
      </c>
      <c r="O28" s="6">
        <v>85.881</v>
      </c>
      <c r="P28" s="7">
        <v>2.993E-5</v>
      </c>
      <c r="R28" s="5">
        <v>46079</v>
      </c>
      <c r="S28" s="6">
        <v>525394.49635605502</v>
      </c>
      <c r="T28" s="6">
        <f t="shared" si="0"/>
        <v>1350.4836439147221</v>
      </c>
      <c r="U28" s="6">
        <v>562566.97628176701</v>
      </c>
      <c r="V28" s="6">
        <f t="shared" si="1"/>
        <v>1446.032467687329</v>
      </c>
      <c r="W28" s="6">
        <f t="shared" si="2"/>
        <v>2796.5161116020508</v>
      </c>
      <c r="X28" s="6"/>
      <c r="Y28" s="6">
        <f t="shared" si="3"/>
        <v>-37172.479925711988</v>
      </c>
      <c r="Z28" s="6">
        <f t="shared" si="4"/>
        <v>-95.548823772607122</v>
      </c>
      <c r="AA28" s="6">
        <v>8.013132989999999</v>
      </c>
      <c r="AB28" s="6">
        <f t="shared" si="5"/>
        <v>1444.1268274577999</v>
      </c>
      <c r="AC28" s="6">
        <v>7.6350682699999997</v>
      </c>
      <c r="AD28" s="6">
        <f t="shared" si="6"/>
        <v>1375.9920036193998</v>
      </c>
      <c r="AE28" s="6">
        <f t="shared" si="7"/>
        <v>68.134823838399882</v>
      </c>
      <c r="AG28" s="5">
        <v>46079</v>
      </c>
      <c r="AH28" s="6">
        <v>525345.81289998197</v>
      </c>
      <c r="AI28" s="6">
        <f t="shared" si="8"/>
        <v>1350.3585070668641</v>
      </c>
      <c r="AJ28" s="6">
        <v>574912.90056893998</v>
      </c>
      <c r="AK28" s="6">
        <f t="shared" si="9"/>
        <v>1477.7666577758707</v>
      </c>
      <c r="AL28" s="6">
        <f t="shared" si="10"/>
        <v>2828.1251648427351</v>
      </c>
      <c r="AM28" s="6"/>
      <c r="AN28" s="6">
        <f t="shared" si="11"/>
        <v>-49567.087668958004</v>
      </c>
      <c r="AO28" s="6">
        <f t="shared" si="12"/>
        <v>-127.40815070900662</v>
      </c>
      <c r="AP28" s="6">
        <v>8.1861610299999992</v>
      </c>
      <c r="AQ28" s="6">
        <f t="shared" si="13"/>
        <v>1475.3099408265998</v>
      </c>
      <c r="AR28" s="6">
        <v>7.6350682699999997</v>
      </c>
      <c r="AS28" s="6">
        <f t="shared" si="14"/>
        <v>1375.9920036193998</v>
      </c>
      <c r="AT28" s="6">
        <f t="shared" si="15"/>
        <v>99.317937207199918</v>
      </c>
      <c r="AV28" s="5">
        <v>46079</v>
      </c>
      <c r="AW28" s="6">
        <v>532310.14246395999</v>
      </c>
      <c r="AX28" s="6">
        <f t="shared" si="16"/>
        <v>1368.259747434274</v>
      </c>
      <c r="AY28" s="6">
        <v>570163.36860432802</v>
      </c>
      <c r="AZ28" s="6">
        <f t="shared" si="17"/>
        <v>1465.5583737551112</v>
      </c>
      <c r="BA28" s="6">
        <f t="shared" si="18"/>
        <v>2833.8181211893852</v>
      </c>
      <c r="BB28" s="6"/>
      <c r="BC28" s="6">
        <f t="shared" si="206"/>
        <v>-37853.226140368031</v>
      </c>
      <c r="BD28" s="6">
        <f t="shared" si="19"/>
        <v>-97.29862632083713</v>
      </c>
      <c r="BE28" s="6">
        <v>19.09069487</v>
      </c>
      <c r="BF28" s="6">
        <f t="shared" si="20"/>
        <v>1503.5831279612</v>
      </c>
      <c r="BG28" s="6">
        <v>18.217781200000001</v>
      </c>
      <c r="BH28" s="6">
        <f t="shared" si="21"/>
        <v>1434.8324473120001</v>
      </c>
      <c r="BI28" s="6">
        <f t="shared" si="22"/>
        <v>68.750680649199936</v>
      </c>
      <c r="BK28" s="5">
        <v>46079</v>
      </c>
      <c r="BL28" s="6">
        <v>534547.66733303387</v>
      </c>
      <c r="BM28" s="6">
        <f t="shared" si="23"/>
        <v>1374.0111223715726</v>
      </c>
      <c r="BN28" s="6">
        <v>564897.80112449685</v>
      </c>
      <c r="BO28" s="6">
        <f t="shared" si="24"/>
        <v>1452.0236625871014</v>
      </c>
      <c r="BP28" s="6">
        <f t="shared" si="25"/>
        <v>2826.0347849586742</v>
      </c>
      <c r="BQ28" s="6"/>
      <c r="BR28" s="6">
        <f t="shared" si="26"/>
        <v>-30350.133791462984</v>
      </c>
      <c r="BS28" s="6">
        <f t="shared" si="27"/>
        <v>-78.012540215528858</v>
      </c>
      <c r="BT28" s="6">
        <v>18.9298264</v>
      </c>
      <c r="BU28" s="6">
        <f t="shared" si="28"/>
        <v>1490.913127264</v>
      </c>
      <c r="BV28" s="6">
        <v>18.295140660000001</v>
      </c>
      <c r="BW28" s="6">
        <f t="shared" si="29"/>
        <v>1440.9252783816003</v>
      </c>
      <c r="BX28" s="6">
        <f t="shared" si="30"/>
        <v>49.987848882399874</v>
      </c>
      <c r="BZ28" s="5">
        <v>46079</v>
      </c>
      <c r="CA28" s="6">
        <v>537013.44525879098</v>
      </c>
      <c r="CB28" s="6">
        <f t="shared" si="31"/>
        <v>1380.349203149648</v>
      </c>
      <c r="CC28" s="6">
        <v>499062.77488242299</v>
      </c>
      <c r="CD28" s="6">
        <f t="shared" si="32"/>
        <v>1282.8001043784436</v>
      </c>
      <c r="CE28" s="6">
        <f t="shared" si="33"/>
        <v>2663.1493075280914</v>
      </c>
      <c r="CF28" s="6"/>
      <c r="CG28" s="6">
        <f t="shared" si="34"/>
        <v>37950.670376367983</v>
      </c>
      <c r="CH28" s="6">
        <f t="shared" si="35"/>
        <v>97.549098771204257</v>
      </c>
      <c r="CI28" s="6">
        <v>6.69502226</v>
      </c>
      <c r="CJ28" s="6">
        <f t="shared" si="36"/>
        <v>1240.1859234424001</v>
      </c>
      <c r="CK28" s="6">
        <v>7.3703206600000009</v>
      </c>
      <c r="CL28" s="6">
        <f t="shared" si="37"/>
        <v>1365.2781990584003</v>
      </c>
      <c r="CM28" s="6">
        <f t="shared" si="38"/>
        <v>-125.09227561600017</v>
      </c>
      <c r="CO28" s="5">
        <v>46079</v>
      </c>
      <c r="CP28" s="6">
        <v>527410.25845261698</v>
      </c>
      <c r="CQ28" s="6">
        <f t="shared" si="39"/>
        <v>1355.6649957566442</v>
      </c>
      <c r="CR28" s="6">
        <v>499062.77488242299</v>
      </c>
      <c r="CS28" s="6">
        <f t="shared" si="40"/>
        <v>1282.8001043784436</v>
      </c>
      <c r="CT28" s="6">
        <f t="shared" si="41"/>
        <v>2638.4651001350876</v>
      </c>
      <c r="CU28" s="6"/>
      <c r="CV28" s="6">
        <f t="shared" si="42"/>
        <v>28347.483570193988</v>
      </c>
      <c r="CW28" s="6">
        <f t="shared" si="43"/>
        <v>72.864891378200468</v>
      </c>
      <c r="CX28" s="6">
        <v>6.6946930800000004</v>
      </c>
      <c r="CY28" s="6">
        <f t="shared" si="44"/>
        <v>1240.1249461392001</v>
      </c>
      <c r="CZ28" s="6">
        <v>7.2278985500000017</v>
      </c>
      <c r="DA28" s="6">
        <f t="shared" si="45"/>
        <v>1338.8959274020003</v>
      </c>
      <c r="DB28" s="6">
        <f>(CX28-CZ28)*D28</f>
        <v>-98.770981262800248</v>
      </c>
      <c r="DD28" s="5">
        <v>46079</v>
      </c>
      <c r="DE28" s="6">
        <v>493137.15219760401</v>
      </c>
      <c r="DF28" s="6">
        <f t="shared" si="47"/>
        <v>1267.568775212721</v>
      </c>
      <c r="DG28" s="6">
        <v>509603.29612758709</v>
      </c>
      <c r="DH28" s="6">
        <f t="shared" si="48"/>
        <v>1309.8936533947679</v>
      </c>
      <c r="DI28" s="6">
        <f t="shared" si="49"/>
        <v>2577.4624286074886</v>
      </c>
      <c r="DJ28" s="6"/>
      <c r="DK28" s="6">
        <f t="shared" si="50"/>
        <v>-16466.143929983082</v>
      </c>
      <c r="DL28" s="6">
        <f t="shared" si="51"/>
        <v>-42.324878182046746</v>
      </c>
      <c r="DM28" s="6">
        <v>2.7922867899999999</v>
      </c>
      <c r="DN28" s="6">
        <f t="shared" si="52"/>
        <v>1328.9888977004998</v>
      </c>
      <c r="DO28" s="6">
        <v>2.7599261899999998</v>
      </c>
      <c r="DP28" s="6">
        <f t="shared" si="53"/>
        <v>1313.5868701304998</v>
      </c>
      <c r="DQ28" s="6">
        <f t="shared" si="54"/>
        <v>15.402027570000035</v>
      </c>
      <c r="DS28" s="5">
        <v>46079</v>
      </c>
      <c r="DT28" s="6">
        <v>493123.03602384101</v>
      </c>
      <c r="DU28" s="6">
        <f t="shared" si="55"/>
        <v>1267.5324907409313</v>
      </c>
      <c r="DV28" s="6">
        <v>535103.5444247179</v>
      </c>
      <c r="DW28" s="6">
        <f t="shared" si="56"/>
        <v>1375.4399590372643</v>
      </c>
      <c r="DX28" s="6">
        <f t="shared" si="57"/>
        <v>2642.9724497781954</v>
      </c>
      <c r="DY28" s="6"/>
      <c r="DZ28" s="6">
        <f t="shared" si="58"/>
        <v>-41980.50840087689</v>
      </c>
      <c r="EA28" s="6">
        <f t="shared" si="59"/>
        <v>-107.90746829633294</v>
      </c>
      <c r="EB28" s="6">
        <v>2.9342650899999998</v>
      </c>
      <c r="EC28" s="6">
        <f t="shared" si="60"/>
        <v>1396.5634695854999</v>
      </c>
      <c r="ED28" s="6">
        <v>2.7599261899999998</v>
      </c>
      <c r="EE28" s="6">
        <f t="shared" si="61"/>
        <v>1313.5868701304998</v>
      </c>
      <c r="EF28" s="6">
        <f t="shared" si="62"/>
        <v>82.976599454999985</v>
      </c>
      <c r="EH28" s="5">
        <v>46079</v>
      </c>
      <c r="EI28" s="6">
        <v>2357953.2138258158</v>
      </c>
      <c r="EJ28" s="6">
        <f t="shared" si="63"/>
        <v>6060.9261621002861</v>
      </c>
      <c r="EK28" s="6">
        <v>2272794.1528547602</v>
      </c>
      <c r="EL28" s="6">
        <f t="shared" si="64"/>
        <v>5842.0317508146973</v>
      </c>
      <c r="EM28" s="6">
        <f t="shared" si="65"/>
        <v>11902.957912914982</v>
      </c>
      <c r="EN28" s="6"/>
      <c r="EO28" s="6">
        <f t="shared" si="66"/>
        <v>85159.060971055645</v>
      </c>
      <c r="EP28" s="6">
        <f t="shared" si="67"/>
        <v>218.89441128558903</v>
      </c>
      <c r="EQ28" s="6">
        <v>14.42380966</v>
      </c>
      <c r="ER28" s="6">
        <f t="shared" si="68"/>
        <v>5858.9514838919995</v>
      </c>
      <c r="ES28" s="6">
        <v>15.032263049999999</v>
      </c>
      <c r="ET28" s="6">
        <f t="shared" si="69"/>
        <v>6106.1052509099991</v>
      </c>
      <c r="EU28" s="6">
        <f t="shared" si="70"/>
        <v>-247.15376701799971</v>
      </c>
      <c r="EW28" s="5">
        <v>46079</v>
      </c>
      <c r="EX28" s="6">
        <v>2333299.6007676758</v>
      </c>
      <c r="EY28" s="6">
        <f t="shared" si="71"/>
        <v>5997.5560631949156</v>
      </c>
      <c r="EZ28" s="6">
        <v>2263104.6603078609</v>
      </c>
      <c r="FA28" s="6">
        <f t="shared" si="72"/>
        <v>5817.1257015637493</v>
      </c>
      <c r="FB28" s="6">
        <f t="shared" si="73"/>
        <v>11814.681764758665</v>
      </c>
      <c r="FC28" s="6"/>
      <c r="FD28" s="6">
        <f t="shared" si="74"/>
        <v>70194.940459814854</v>
      </c>
      <c r="FE28" s="6">
        <f t="shared" si="75"/>
        <v>180.43036163116673</v>
      </c>
      <c r="FF28" s="6">
        <v>14.355638819999999</v>
      </c>
      <c r="FG28" s="6">
        <f t="shared" si="76"/>
        <v>5831.2604886839999</v>
      </c>
      <c r="FH28" s="6">
        <v>14.89763584</v>
      </c>
      <c r="FI28" s="6">
        <f t="shared" si="77"/>
        <v>6051.4196782079998</v>
      </c>
      <c r="FJ28" s="6">
        <f t="shared" si="78"/>
        <v>-220.15918952400006</v>
      </c>
      <c r="FL28" s="5">
        <v>46079</v>
      </c>
      <c r="FM28" s="6">
        <v>456677.28068013798</v>
      </c>
      <c r="FN28" s="6">
        <f t="shared" si="79"/>
        <v>1173.8516531547814</v>
      </c>
      <c r="FO28" s="6">
        <v>401570.92352335399</v>
      </c>
      <c r="FP28" s="6">
        <f t="shared" si="80"/>
        <v>1032.2052626194572</v>
      </c>
      <c r="FQ28" s="6">
        <f t="shared" si="81"/>
        <v>2206.0569157742384</v>
      </c>
      <c r="FR28" s="6"/>
      <c r="FS28" s="6">
        <f t="shared" si="82"/>
        <v>55106.357156783983</v>
      </c>
      <c r="FT28" s="6">
        <f t="shared" si="83"/>
        <v>141.64639053532423</v>
      </c>
      <c r="FU28" s="6">
        <v>568466.7272920002</v>
      </c>
      <c r="FV28" s="6">
        <f t="shared" si="84"/>
        <v>1028.9247763985204</v>
      </c>
      <c r="FW28" s="6">
        <v>671898.52780899999</v>
      </c>
      <c r="FX28" s="6">
        <f t="shared" si="85"/>
        <v>1216.1363353342899</v>
      </c>
      <c r="FY28" s="6">
        <f t="shared" si="86"/>
        <v>-187.21155893576963</v>
      </c>
      <c r="GA28" s="5">
        <v>46079</v>
      </c>
      <c r="GB28" s="6">
        <v>453313.82689762302</v>
      </c>
      <c r="GC28" s="6">
        <f t="shared" si="87"/>
        <v>1165.2061699000972</v>
      </c>
      <c r="GD28" s="6">
        <v>397703.093493736</v>
      </c>
      <c r="GE28" s="6">
        <f t="shared" si="88"/>
        <v>1022.2633214140027</v>
      </c>
      <c r="GF28" s="6">
        <f t="shared" si="89"/>
        <v>2187.4694913140997</v>
      </c>
      <c r="GG28" s="6"/>
      <c r="GH28" s="6">
        <f t="shared" si="90"/>
        <v>55610.733403887018</v>
      </c>
      <c r="GI28" s="6">
        <f t="shared" si="91"/>
        <v>142.94284848609448</v>
      </c>
      <c r="GJ28" s="6">
        <v>562888.53243599995</v>
      </c>
      <c r="GK28" s="6">
        <f t="shared" si="92"/>
        <v>1018.8282437091599</v>
      </c>
      <c r="GL28" s="6">
        <v>667268.1574860001</v>
      </c>
      <c r="GM28" s="6">
        <f t="shared" si="93"/>
        <v>1207.7553650496602</v>
      </c>
      <c r="GN28" s="6">
        <f t="shared" si="94"/>
        <v>-188.92712134050026</v>
      </c>
      <c r="GP28" s="5">
        <v>46079</v>
      </c>
      <c r="GQ28" s="6">
        <v>455931.24709847401</v>
      </c>
      <c r="GR28" s="6">
        <f t="shared" si="95"/>
        <v>1171.9340347616769</v>
      </c>
      <c r="GS28" s="6">
        <v>410352.66044616612</v>
      </c>
      <c r="GT28" s="6">
        <f t="shared" si="96"/>
        <v>1054.7780001750914</v>
      </c>
      <c r="GU28" s="6">
        <f t="shared" si="97"/>
        <v>2226.7120349367683</v>
      </c>
      <c r="GV28" s="6"/>
      <c r="GW28" s="6">
        <f t="shared" si="98"/>
        <v>45578.586652307888</v>
      </c>
      <c r="GX28" s="6">
        <f t="shared" si="99"/>
        <v>117.15603458658552</v>
      </c>
      <c r="GY28" s="6">
        <v>299.30021599999998</v>
      </c>
      <c r="GZ28" s="6">
        <f t="shared" si="100"/>
        <v>1037.9731490879999</v>
      </c>
      <c r="HA28" s="6">
        <v>346.25499400000001</v>
      </c>
      <c r="HB28" s="6">
        <f t="shared" si="101"/>
        <v>1200.8123191920001</v>
      </c>
      <c r="HC28" s="6">
        <f t="shared" si="207"/>
        <v>-162.83917010400012</v>
      </c>
      <c r="HE28" s="5">
        <v>46079</v>
      </c>
      <c r="HF28" s="21">
        <v>425259.675052176</v>
      </c>
      <c r="HG28" s="6">
        <f t="shared" si="102"/>
        <v>1093.0952637639568</v>
      </c>
      <c r="HH28" s="6">
        <v>390643.236460827</v>
      </c>
      <c r="HI28" s="6">
        <f t="shared" si="103"/>
        <v>1004.1165354894341</v>
      </c>
      <c r="HJ28" s="6">
        <f t="shared" si="104"/>
        <v>2097.2117992533908</v>
      </c>
      <c r="HK28" s="6"/>
      <c r="HL28" s="6">
        <f t="shared" si="105"/>
        <v>34616.438591348997</v>
      </c>
      <c r="HM28" s="6">
        <f t="shared" si="106"/>
        <v>88.978728274522837</v>
      </c>
      <c r="HN28" s="6">
        <v>284.881686</v>
      </c>
      <c r="HO28" s="6">
        <f t="shared" si="107"/>
        <v>987.96968704799997</v>
      </c>
      <c r="HP28" s="6">
        <v>323.03235999999998</v>
      </c>
      <c r="HQ28" s="6">
        <f t="shared" si="108"/>
        <v>1120.2762244799999</v>
      </c>
      <c r="HR28" s="6">
        <f t="shared" si="109"/>
        <v>-132.30653743199994</v>
      </c>
      <c r="HT28" s="5">
        <v>46079</v>
      </c>
      <c r="HU28" s="6">
        <v>375023.40893143998</v>
      </c>
      <c r="HV28" s="6">
        <f t="shared" si="110"/>
        <v>963.96704449645893</v>
      </c>
      <c r="HW28" s="6">
        <v>461717.22676985699</v>
      </c>
      <c r="HX28" s="6">
        <f t="shared" si="111"/>
        <v>1186.8064229660072</v>
      </c>
      <c r="HY28" s="6">
        <f t="shared" si="112"/>
        <v>2150.7734674624662</v>
      </c>
      <c r="HZ28" s="6"/>
      <c r="IA28" s="6">
        <f t="shared" si="113"/>
        <v>-86693.817838417017</v>
      </c>
      <c r="IB28" s="6">
        <f t="shared" si="114"/>
        <v>-222.83937846954808</v>
      </c>
      <c r="IC28" s="6">
        <v>1.9334727700000001</v>
      </c>
      <c r="ID28" s="6">
        <f t="shared" si="115"/>
        <v>1176.4215069065001</v>
      </c>
      <c r="IE28" s="6">
        <v>1.63483592</v>
      </c>
      <c r="IF28" s="6">
        <f t="shared" si="116"/>
        <v>994.71591552400002</v>
      </c>
      <c r="IG28" s="6">
        <f t="shared" si="117"/>
        <v>181.70559138250005</v>
      </c>
      <c r="II28" s="5">
        <v>46079</v>
      </c>
      <c r="IJ28" s="6">
        <v>390408.99741907901</v>
      </c>
      <c r="IK28" s="6">
        <f t="shared" si="118"/>
        <v>1003.5144431629234</v>
      </c>
      <c r="IL28" s="6">
        <v>454684.57451693388</v>
      </c>
      <c r="IM28" s="6">
        <f t="shared" si="119"/>
        <v>1168.7295647065778</v>
      </c>
      <c r="IN28" s="6">
        <f t="shared" si="120"/>
        <v>2172.2440078695013</v>
      </c>
      <c r="IO28" s="6"/>
      <c r="IP28" s="6">
        <f t="shared" si="121"/>
        <v>-64275.577097854868</v>
      </c>
      <c r="IQ28" s="6">
        <f t="shared" si="122"/>
        <v>-165.21512154365433</v>
      </c>
      <c r="IR28" s="6">
        <v>1.9037972000000001</v>
      </c>
      <c r="IS28" s="6">
        <f t="shared" si="123"/>
        <v>1158.3654063400002</v>
      </c>
      <c r="IT28" s="6">
        <v>1.7020336300000001</v>
      </c>
      <c r="IU28" s="6">
        <f t="shared" si="124"/>
        <v>1035.6023621735001</v>
      </c>
      <c r="IV28" s="6">
        <f t="shared" si="125"/>
        <v>122.76304416650001</v>
      </c>
      <c r="IX28" s="5">
        <v>46079</v>
      </c>
      <c r="IY28" s="6">
        <v>534647.73531335907</v>
      </c>
      <c r="IZ28" s="6">
        <f t="shared" si="126"/>
        <v>1374.2683389424465</v>
      </c>
      <c r="JA28" s="6">
        <v>549014.61434045504</v>
      </c>
      <c r="JB28" s="6">
        <f t="shared" si="127"/>
        <v>1411.1972281385865</v>
      </c>
      <c r="JC28" s="6">
        <f t="shared" si="128"/>
        <v>2785.465567081033</v>
      </c>
      <c r="JD28" s="6"/>
      <c r="JE28" s="6">
        <f t="shared" si="129"/>
        <v>-14366.879027095973</v>
      </c>
      <c r="JF28" s="6">
        <f t="shared" si="130"/>
        <v>-36.928889196140055</v>
      </c>
      <c r="JG28" s="6">
        <v>10.61622506</v>
      </c>
      <c r="JH28" s="6">
        <f t="shared" si="131"/>
        <v>1417.3722077605998</v>
      </c>
      <c r="JI28" s="6">
        <v>10.551509299999999</v>
      </c>
      <c r="JJ28" s="6">
        <f t="shared" si="132"/>
        <v>1408.7320066429997</v>
      </c>
      <c r="JK28" s="6">
        <f t="shared" si="133"/>
        <v>8.6402011176000446</v>
      </c>
      <c r="JM28" s="5">
        <v>46079</v>
      </c>
      <c r="JN28" s="6">
        <v>536886.04736826802</v>
      </c>
      <c r="JO28" s="6">
        <f t="shared" si="134"/>
        <v>1380.0217372766444</v>
      </c>
      <c r="JP28" s="6">
        <v>585763.48404267896</v>
      </c>
      <c r="JQ28" s="6">
        <f t="shared" si="135"/>
        <v>1505.6571964279647</v>
      </c>
      <c r="JR28" s="6">
        <f t="shared" si="136"/>
        <v>2885.6789337046093</v>
      </c>
      <c r="JS28" s="6"/>
      <c r="JT28" s="6">
        <f t="shared" si="137"/>
        <v>-48877.436674410943</v>
      </c>
      <c r="JU28" s="6">
        <f t="shared" si="138"/>
        <v>-125.63545915132013</v>
      </c>
      <c r="JV28" s="6">
        <v>11.336018749999999</v>
      </c>
      <c r="JW28" s="6">
        <f t="shared" si="139"/>
        <v>1513.4718633124999</v>
      </c>
      <c r="JX28" s="6">
        <v>10.596205360000001</v>
      </c>
      <c r="JY28" s="6">
        <f t="shared" si="140"/>
        <v>1414.6993776136001</v>
      </c>
      <c r="JZ28" s="6">
        <f t="shared" si="141"/>
        <v>98.772485698899771</v>
      </c>
      <c r="KB28" s="5">
        <v>46079</v>
      </c>
      <c r="KC28" s="6">
        <v>490786.85831762198</v>
      </c>
      <c r="KD28" s="6">
        <f t="shared" si="142"/>
        <v>1261.5275367427287</v>
      </c>
      <c r="KE28" s="6">
        <v>524288.21948816406</v>
      </c>
      <c r="KF28" s="6">
        <f t="shared" si="143"/>
        <v>1347.6400495754401</v>
      </c>
      <c r="KG28" s="6">
        <f t="shared" si="144"/>
        <v>2609.167586318169</v>
      </c>
      <c r="KH28" s="6"/>
      <c r="KI28" s="6">
        <f t="shared" si="145"/>
        <v>-33501.361170542077</v>
      </c>
      <c r="KJ28" s="6">
        <f t="shared" si="146"/>
        <v>-86.112512832711616</v>
      </c>
      <c r="KK28" s="6">
        <v>2.000760659</v>
      </c>
      <c r="KL28" s="6">
        <f t="shared" si="147"/>
        <v>1379.8445960859399</v>
      </c>
      <c r="KM28" s="6">
        <v>1.911681443</v>
      </c>
      <c r="KN28" s="6">
        <f t="shared" si="148"/>
        <v>1318.4102239793799</v>
      </c>
      <c r="KO28" s="6">
        <f t="shared" si="149"/>
        <v>61.434372106560012</v>
      </c>
      <c r="KQ28" s="5">
        <v>46079</v>
      </c>
      <c r="KR28" s="6">
        <v>490762.23378953402</v>
      </c>
      <c r="KS28" s="6">
        <f t="shared" si="150"/>
        <v>1261.4642414043635</v>
      </c>
      <c r="KT28" s="6">
        <v>546026.00068706996</v>
      </c>
      <c r="KU28" s="6">
        <f t="shared" si="151"/>
        <v>1403.5152408226372</v>
      </c>
      <c r="KV28" s="6">
        <f t="shared" si="152"/>
        <v>2664.9794822270005</v>
      </c>
      <c r="KW28" s="6"/>
      <c r="KX28" s="6">
        <f t="shared" si="153"/>
        <v>-55263.766897535941</v>
      </c>
      <c r="KY28" s="6">
        <f t="shared" si="154"/>
        <v>-142.05099941827362</v>
      </c>
      <c r="KZ28" s="6">
        <v>2.0819336659999998</v>
      </c>
      <c r="LA28" s="6">
        <f t="shared" si="155"/>
        <v>1435.8263720935599</v>
      </c>
      <c r="LB28" s="6">
        <v>1.911681443</v>
      </c>
      <c r="LC28" s="6">
        <f t="shared" si="156"/>
        <v>1318.4102239793799</v>
      </c>
      <c r="LD28" s="6">
        <f t="shared" si="157"/>
        <v>117.4161481141799</v>
      </c>
      <c r="LF28" s="5">
        <v>46079</v>
      </c>
      <c r="LG28" s="6">
        <v>401744.46784160502</v>
      </c>
      <c r="LH28" s="6">
        <f t="shared" si="158"/>
        <v>1032.6513441161569</v>
      </c>
      <c r="LI28" s="6">
        <v>367016.34632046003</v>
      </c>
      <c r="LJ28" s="6">
        <f t="shared" si="159"/>
        <v>943.38554399173847</v>
      </c>
      <c r="LK28" s="6">
        <f t="shared" si="160"/>
        <v>1976.0368881078953</v>
      </c>
      <c r="LL28" s="6"/>
      <c r="LM28" s="6">
        <f t="shared" si="161"/>
        <v>34728.121521144989</v>
      </c>
      <c r="LN28" s="6">
        <f t="shared" si="162"/>
        <v>89.265800124418561</v>
      </c>
      <c r="LO28" s="6">
        <v>11.185592359999999</v>
      </c>
      <c r="LP28" s="6">
        <f t="shared" si="163"/>
        <v>962.85579034879993</v>
      </c>
      <c r="LQ28" s="6">
        <v>12.444859340000001</v>
      </c>
      <c r="LR28" s="6">
        <f t="shared" si="164"/>
        <v>1071.2534919872001</v>
      </c>
      <c r="LS28" s="6">
        <f t="shared" si="165"/>
        <v>-108.39770163840012</v>
      </c>
      <c r="LU28" s="5">
        <v>46079</v>
      </c>
      <c r="LV28" s="6">
        <v>384837.32959351002</v>
      </c>
      <c r="LW28" s="6">
        <f t="shared" si="166"/>
        <v>989.19292605540954</v>
      </c>
      <c r="LX28" s="6">
        <v>367016.34632046003</v>
      </c>
      <c r="LY28" s="6">
        <f t="shared" si="167"/>
        <v>943.38554399173847</v>
      </c>
      <c r="LZ28" s="6">
        <f t="shared" si="168"/>
        <v>1932.5784700471481</v>
      </c>
      <c r="MA28" s="6"/>
      <c r="MB28" s="6">
        <f t="shared" si="169"/>
        <v>17820.983273049991</v>
      </c>
      <c r="MC28" s="6">
        <f t="shared" si="170"/>
        <v>45.807382063671092</v>
      </c>
      <c r="MD28" s="6">
        <v>11.18449184</v>
      </c>
      <c r="ME28" s="6">
        <f t="shared" si="171"/>
        <v>962.76105758719996</v>
      </c>
      <c r="MF28" s="6">
        <v>11.95727299</v>
      </c>
      <c r="MG28" s="6">
        <f t="shared" si="172"/>
        <v>1029.2820589792</v>
      </c>
      <c r="MH28" s="6">
        <f t="shared" si="173"/>
        <v>-66.521001392000016</v>
      </c>
      <c r="MJ28" s="5">
        <v>46079</v>
      </c>
      <c r="MK28" s="6">
        <v>486247.77564571198</v>
      </c>
      <c r="ML28" s="6">
        <f t="shared" si="174"/>
        <v>1249.8601954414657</v>
      </c>
      <c r="MM28" s="6">
        <v>509593.47918849898</v>
      </c>
      <c r="MN28" s="6">
        <f t="shared" si="175"/>
        <v>1309.8684197545913</v>
      </c>
      <c r="MO28" s="6">
        <f t="shared" si="176"/>
        <v>2559.728615196057</v>
      </c>
      <c r="MP28" s="6"/>
      <c r="MQ28" s="6">
        <f t="shared" si="177"/>
        <v>-23345.703542787</v>
      </c>
      <c r="MR28" s="6">
        <f t="shared" si="178"/>
        <v>-60.008224313125638</v>
      </c>
      <c r="MS28" s="6">
        <v>4.2610569300000014</v>
      </c>
      <c r="MT28" s="6">
        <f t="shared" si="179"/>
        <v>1315.1752214445003</v>
      </c>
      <c r="MU28" s="6">
        <v>4.1480856100000008</v>
      </c>
      <c r="MV28" s="6">
        <f t="shared" si="180"/>
        <v>1280.3066235265001</v>
      </c>
      <c r="MW28" s="6">
        <f t="shared" si="181"/>
        <v>34.868597918000198</v>
      </c>
      <c r="MY28" s="5">
        <v>46079</v>
      </c>
      <c r="MZ28" s="6">
        <v>486198.11983267101</v>
      </c>
      <c r="NA28" s="6">
        <f t="shared" si="182"/>
        <v>1249.7325592294342</v>
      </c>
      <c r="NB28" s="6">
        <v>525922.40324204299</v>
      </c>
      <c r="NC28" s="6">
        <f t="shared" si="183"/>
        <v>1351.8405854509988</v>
      </c>
      <c r="ND28" s="6">
        <f t="shared" si="184"/>
        <v>2601.573144680433</v>
      </c>
      <c r="NE28" s="6"/>
      <c r="NF28" s="6">
        <f t="shared" si="185"/>
        <v>-39724.283409371972</v>
      </c>
      <c r="NG28" s="6">
        <f t="shared" si="186"/>
        <v>-102.10802622156461</v>
      </c>
      <c r="NH28" s="6">
        <v>4.3966923400000004</v>
      </c>
      <c r="NI28" s="6">
        <f t="shared" si="187"/>
        <v>1357.0390907410001</v>
      </c>
      <c r="NJ28" s="6">
        <v>4.1480856100000008</v>
      </c>
      <c r="NK28" s="6">
        <f t="shared" si="188"/>
        <v>1280.3066235265001</v>
      </c>
      <c r="NL28" s="6">
        <f t="shared" si="189"/>
        <v>76.732467214499891</v>
      </c>
      <c r="NN28" s="5">
        <v>46079</v>
      </c>
      <c r="NO28" s="6">
        <v>526056.81275820301</v>
      </c>
      <c r="NP28" s="6">
        <f t="shared" si="190"/>
        <v>1352.1860741350629</v>
      </c>
      <c r="NQ28" s="6">
        <v>474344.65063146898</v>
      </c>
      <c r="NR28" s="6">
        <f t="shared" si="191"/>
        <v>1219.2641847205739</v>
      </c>
      <c r="NS28" s="6">
        <f t="shared" si="192"/>
        <v>2571.450258855637</v>
      </c>
      <c r="NT28" s="6"/>
      <c r="NU28" s="6">
        <f t="shared" si="193"/>
        <v>51712.162126734038</v>
      </c>
      <c r="NV28" s="6">
        <f t="shared" si="194"/>
        <v>132.92188941448896</v>
      </c>
      <c r="NW28" s="6">
        <v>170887.08440299999</v>
      </c>
      <c r="NX28" s="6">
        <f t="shared" si="195"/>
        <v>1187.6652366008498</v>
      </c>
      <c r="NY28" s="6">
        <v>197050.487964</v>
      </c>
      <c r="NZ28" s="6">
        <f t="shared" si="196"/>
        <v>1369.5008913498</v>
      </c>
      <c r="OA28" s="6">
        <f t="shared" si="197"/>
        <v>-181.83565474895008</v>
      </c>
      <c r="OC28" s="5">
        <v>46079</v>
      </c>
      <c r="OD28" s="6">
        <v>518592.04170944891</v>
      </c>
      <c r="OE28" s="6">
        <f t="shared" si="198"/>
        <v>1332.9984898020921</v>
      </c>
      <c r="OF28" s="6">
        <v>471331.74065740203</v>
      </c>
      <c r="OG28" s="6">
        <f t="shared" si="199"/>
        <v>1211.5197456965923</v>
      </c>
      <c r="OH28" s="6">
        <f t="shared" si="200"/>
        <v>2544.5182354986846</v>
      </c>
      <c r="OI28" s="6"/>
      <c r="OJ28" s="6">
        <f t="shared" si="201"/>
        <v>47260.301052046882</v>
      </c>
      <c r="OK28" s="6">
        <f t="shared" si="202"/>
        <v>121.47874410549959</v>
      </c>
      <c r="OL28" s="6">
        <v>169583.11884899999</v>
      </c>
      <c r="OM28" s="6">
        <f t="shared" si="203"/>
        <v>1178.6026760005498</v>
      </c>
      <c r="ON28" s="6">
        <v>194327.56525499999</v>
      </c>
      <c r="OO28" s="6">
        <f t="shared" si="204"/>
        <v>1350.57657852225</v>
      </c>
      <c r="OP28" s="6">
        <f t="shared" si="205"/>
        <v>-171.97390252170001</v>
      </c>
    </row>
    <row r="29" spans="1:406" x14ac:dyDescent="0.2">
      <c r="A29" s="5">
        <v>46080</v>
      </c>
      <c r="B29" s="10">
        <v>175.7</v>
      </c>
      <c r="C29" s="6">
        <v>75.38</v>
      </c>
      <c r="D29" s="6">
        <v>178.17</v>
      </c>
      <c r="E29" s="6">
        <v>486.08</v>
      </c>
      <c r="F29" s="6">
        <v>400.9</v>
      </c>
      <c r="G29" s="2">
        <v>1.7899999999999999E-3</v>
      </c>
      <c r="H29" s="6">
        <v>3.4020000000000001</v>
      </c>
      <c r="I29" s="6">
        <v>607.01</v>
      </c>
      <c r="J29" s="6">
        <v>130.44999999999999</v>
      </c>
      <c r="K29" s="6">
        <v>687.6</v>
      </c>
      <c r="L29" s="6">
        <v>83.4</v>
      </c>
      <c r="M29" s="6">
        <v>309.83999999999997</v>
      </c>
      <c r="N29" s="6">
        <v>6.79E-3</v>
      </c>
      <c r="O29" s="6">
        <v>81.870999999999995</v>
      </c>
      <c r="P29" s="7">
        <v>3.0559999999999999E-5</v>
      </c>
      <c r="R29" s="5">
        <v>46080</v>
      </c>
      <c r="S29" s="6">
        <v>549513.35149523697</v>
      </c>
      <c r="T29" s="6">
        <f t="shared" si="0"/>
        <v>1374.8701842641456</v>
      </c>
      <c r="U29" s="6">
        <v>579817.19549785298</v>
      </c>
      <c r="V29" s="6">
        <f t="shared" si="1"/>
        <v>1450.6897280012001</v>
      </c>
      <c r="W29" s="6">
        <f t="shared" si="2"/>
        <v>2825.5599122653457</v>
      </c>
      <c r="X29" s="6"/>
      <c r="Y29" s="6">
        <f t="shared" si="3"/>
        <v>-30303.84400261601</v>
      </c>
      <c r="Z29" s="6">
        <f t="shared" si="4"/>
        <v>-75.81954373705463</v>
      </c>
      <c r="AA29" s="6">
        <v>8.2765486499999987</v>
      </c>
      <c r="AB29" s="6">
        <f t="shared" si="5"/>
        <v>1454.1895978049997</v>
      </c>
      <c r="AC29" s="6">
        <v>8.0023817499999996</v>
      </c>
      <c r="AD29" s="6">
        <f t="shared" si="6"/>
        <v>1406.0184734749998</v>
      </c>
      <c r="AE29" s="6">
        <f t="shared" si="7"/>
        <v>48.171124329999842</v>
      </c>
      <c r="AG29" s="5">
        <v>46080</v>
      </c>
      <c r="AH29" s="6">
        <v>588889.76144336199</v>
      </c>
      <c r="AI29" s="6">
        <f t="shared" si="8"/>
        <v>1473.3890862229971</v>
      </c>
      <c r="AJ29" s="6">
        <v>579817.19549785298</v>
      </c>
      <c r="AK29" s="6">
        <f t="shared" si="9"/>
        <v>1450.6897280012001</v>
      </c>
      <c r="AL29" s="6">
        <f t="shared" si="10"/>
        <v>2924.0788142241972</v>
      </c>
      <c r="AM29" s="6"/>
      <c r="AN29" s="6">
        <f t="shared" si="11"/>
        <v>9072.5659455090063</v>
      </c>
      <c r="AO29" s="6">
        <f t="shared" si="12"/>
        <v>22.699358221796903</v>
      </c>
      <c r="AP29" s="6">
        <v>8.2757786899999992</v>
      </c>
      <c r="AQ29" s="6">
        <f t="shared" si="13"/>
        <v>1454.0543158329997</v>
      </c>
      <c r="AR29" s="6">
        <v>8.57223282</v>
      </c>
      <c r="AS29" s="6">
        <f t="shared" si="14"/>
        <v>1506.141306474</v>
      </c>
      <c r="AT29" s="6">
        <f t="shared" si="15"/>
        <v>-52.086990641000128</v>
      </c>
      <c r="AV29" s="5">
        <v>46080</v>
      </c>
      <c r="AW29" s="6">
        <v>560867.50595090003</v>
      </c>
      <c r="AX29" s="6">
        <f t="shared" si="16"/>
        <v>1403.2780261958194</v>
      </c>
      <c r="AY29" s="6">
        <v>582154.38672220497</v>
      </c>
      <c r="AZ29" s="6">
        <f t="shared" si="17"/>
        <v>1456.5373284653961</v>
      </c>
      <c r="BA29" s="6">
        <f t="shared" si="18"/>
        <v>2859.8153546612157</v>
      </c>
      <c r="BB29" s="6"/>
      <c r="BC29" s="6">
        <f t="shared" si="206"/>
        <v>-21286.880771304946</v>
      </c>
      <c r="BD29" s="6">
        <f t="shared" si="19"/>
        <v>-53.259302269576615</v>
      </c>
      <c r="BE29" s="6">
        <v>19.08615283</v>
      </c>
      <c r="BF29" s="6">
        <f t="shared" si="20"/>
        <v>1438.7142003253998</v>
      </c>
      <c r="BG29" s="6">
        <v>18.762474950000001</v>
      </c>
      <c r="BH29" s="6">
        <f t="shared" si="21"/>
        <v>1414.3153617309999</v>
      </c>
      <c r="BI29" s="6">
        <f t="shared" si="22"/>
        <v>24.398838594399862</v>
      </c>
      <c r="BK29" s="5">
        <v>46080</v>
      </c>
      <c r="BL29" s="6">
        <v>565101.72708154714</v>
      </c>
      <c r="BM29" s="6">
        <f t="shared" si="23"/>
        <v>1413.8719532956206</v>
      </c>
      <c r="BN29" s="6">
        <v>582154.38672220497</v>
      </c>
      <c r="BO29" s="6">
        <f t="shared" si="24"/>
        <v>1456.5373284653961</v>
      </c>
      <c r="BP29" s="6">
        <f t="shared" si="25"/>
        <v>2870.4092817610167</v>
      </c>
      <c r="BQ29" s="6"/>
      <c r="BR29" s="6">
        <f t="shared" si="26"/>
        <v>-17052.659640657832</v>
      </c>
      <c r="BS29" s="6">
        <f t="shared" si="27"/>
        <v>-42.665375169775487</v>
      </c>
      <c r="BT29" s="6">
        <v>19.084398220000001</v>
      </c>
      <c r="BU29" s="6">
        <f t="shared" si="28"/>
        <v>1438.5819378235999</v>
      </c>
      <c r="BV29" s="6">
        <v>18.89758673</v>
      </c>
      <c r="BW29" s="6">
        <f t="shared" si="29"/>
        <v>1424.5000877073999</v>
      </c>
      <c r="BX29" s="6">
        <f t="shared" si="30"/>
        <v>14.081850116200014</v>
      </c>
      <c r="BZ29" s="5">
        <v>46080</v>
      </c>
      <c r="CA29" s="6">
        <v>575165.02305062104</v>
      </c>
      <c r="CB29" s="6">
        <f t="shared" si="31"/>
        <v>1439.0500960025408</v>
      </c>
      <c r="CC29" s="6">
        <v>576135.91492836794</v>
      </c>
      <c r="CD29" s="6">
        <f t="shared" si="32"/>
        <v>1441.4792458880286</v>
      </c>
      <c r="CE29" s="6">
        <f t="shared" si="33"/>
        <v>2880.5293418905694</v>
      </c>
      <c r="CF29" s="6"/>
      <c r="CG29" s="6">
        <f t="shared" si="34"/>
        <v>-970.89187774690799</v>
      </c>
      <c r="CH29" s="6">
        <f t="shared" si="35"/>
        <v>-2.4291498854874023</v>
      </c>
      <c r="CI29" s="6">
        <v>8.0241869599999998</v>
      </c>
      <c r="CJ29" s="6">
        <f t="shared" si="36"/>
        <v>1429.6693906631999</v>
      </c>
      <c r="CK29" s="6">
        <v>8.1713115700000003</v>
      </c>
      <c r="CL29" s="6">
        <f t="shared" si="37"/>
        <v>1455.8825824268999</v>
      </c>
      <c r="CM29" s="6">
        <f t="shared" si="38"/>
        <v>-26.213191763700095</v>
      </c>
      <c r="CO29" s="5">
        <v>46080</v>
      </c>
      <c r="CP29" s="6">
        <v>575134.1492542231</v>
      </c>
      <c r="CQ29" s="6">
        <f t="shared" si="39"/>
        <v>1438.9728504505867</v>
      </c>
      <c r="CR29" s="6">
        <v>560406.10383209004</v>
      </c>
      <c r="CS29" s="6">
        <f t="shared" si="40"/>
        <v>1402.12360835614</v>
      </c>
      <c r="CT29" s="6">
        <f t="shared" si="41"/>
        <v>2841.0964588067268</v>
      </c>
      <c r="CU29" s="6"/>
      <c r="CV29" s="6">
        <f t="shared" si="42"/>
        <v>14728.045422133058</v>
      </c>
      <c r="CW29" s="6">
        <f t="shared" si="43"/>
        <v>36.849242094446723</v>
      </c>
      <c r="CX29" s="6">
        <v>7.8062416499999987</v>
      </c>
      <c r="CY29" s="6">
        <f t="shared" si="44"/>
        <v>1390.8380747804997</v>
      </c>
      <c r="CZ29" s="6">
        <v>8.1713115700000003</v>
      </c>
      <c r="DA29" s="6">
        <f t="shared" si="45"/>
        <v>1455.8825824268999</v>
      </c>
      <c r="DB29" s="6">
        <f t="shared" si="46"/>
        <v>-65.044507646400277</v>
      </c>
      <c r="DD29" s="5">
        <v>46080</v>
      </c>
      <c r="DE29" s="6">
        <v>555760.41741219989</v>
      </c>
      <c r="DF29" s="6">
        <f t="shared" si="47"/>
        <v>1390.5002042536407</v>
      </c>
      <c r="DG29" s="6">
        <v>579806.46748074202</v>
      </c>
      <c r="DH29" s="6">
        <f t="shared" si="48"/>
        <v>1450.6628867409797</v>
      </c>
      <c r="DI29" s="6">
        <f t="shared" si="49"/>
        <v>2841.1630909946207</v>
      </c>
      <c r="DJ29" s="6"/>
      <c r="DK29" s="6">
        <f t="shared" si="50"/>
        <v>-24046.050068542128</v>
      </c>
      <c r="DL29" s="6">
        <f t="shared" si="51"/>
        <v>-60.162682487338877</v>
      </c>
      <c r="DM29" s="6">
        <v>3.1001120200000001</v>
      </c>
      <c r="DN29" s="6">
        <f t="shared" si="52"/>
        <v>1506.9024506815999</v>
      </c>
      <c r="DO29" s="6">
        <v>3.0284502</v>
      </c>
      <c r="DP29" s="6">
        <f t="shared" si="53"/>
        <v>1472.0690732159999</v>
      </c>
      <c r="DQ29" s="6">
        <f t="shared" si="54"/>
        <v>34.833377465600044</v>
      </c>
      <c r="DS29" s="5">
        <v>46080</v>
      </c>
      <c r="DT29" s="6">
        <v>556505.05028514098</v>
      </c>
      <c r="DU29" s="6">
        <f t="shared" si="55"/>
        <v>1392.3632591411044</v>
      </c>
      <c r="DV29" s="6">
        <v>579806.46748074202</v>
      </c>
      <c r="DW29" s="6">
        <f t="shared" si="56"/>
        <v>1450.6628867409797</v>
      </c>
      <c r="DX29" s="6">
        <f t="shared" si="57"/>
        <v>2843.0261458820842</v>
      </c>
      <c r="DY29" s="6"/>
      <c r="DZ29" s="6">
        <f t="shared" si="58"/>
        <v>-23301.41719560104</v>
      </c>
      <c r="EA29" s="6">
        <f t="shared" si="59"/>
        <v>-58.299627599875365</v>
      </c>
      <c r="EB29" s="6">
        <v>3.1000283099999999</v>
      </c>
      <c r="EC29" s="6">
        <f t="shared" si="60"/>
        <v>1506.8617609247999</v>
      </c>
      <c r="ED29" s="6">
        <v>3.03337945</v>
      </c>
      <c r="EE29" s="6">
        <f t="shared" si="61"/>
        <v>1474.4650830559999</v>
      </c>
      <c r="EF29" s="6">
        <f t="shared" si="62"/>
        <v>32.396677868799962</v>
      </c>
      <c r="EH29" s="5">
        <v>46080</v>
      </c>
      <c r="EI29" s="6">
        <v>2418779.426931879</v>
      </c>
      <c r="EJ29" s="6">
        <f t="shared" si="63"/>
        <v>6051.7323325291063</v>
      </c>
      <c r="EK29" s="6">
        <v>2413128.24604504</v>
      </c>
      <c r="EL29" s="6">
        <f t="shared" si="64"/>
        <v>6037.5932036324975</v>
      </c>
      <c r="EM29" s="6">
        <f t="shared" si="65"/>
        <v>12089.325536161603</v>
      </c>
      <c r="EN29" s="6"/>
      <c r="EO29" s="6">
        <f t="shared" si="66"/>
        <v>5651.1808868390508</v>
      </c>
      <c r="EP29" s="6">
        <f t="shared" si="67"/>
        <v>14.13912889660838</v>
      </c>
      <c r="EQ29" s="6">
        <v>15.33573193</v>
      </c>
      <c r="ER29" s="6">
        <f t="shared" si="68"/>
        <v>6148.0949307369992</v>
      </c>
      <c r="ES29" s="6">
        <v>15.437841990000001</v>
      </c>
      <c r="ET29" s="6">
        <f t="shared" si="69"/>
        <v>6189.0308537909996</v>
      </c>
      <c r="EU29" s="6">
        <f t="shared" si="70"/>
        <v>-40.93592305400044</v>
      </c>
      <c r="EW29" s="5">
        <v>46080</v>
      </c>
      <c r="EX29" s="6">
        <v>2417810.0708644092</v>
      </c>
      <c r="EY29" s="6">
        <f t="shared" si="71"/>
        <v>6049.3070252067755</v>
      </c>
      <c r="EZ29" s="6">
        <v>2385714.6589003559</v>
      </c>
      <c r="FA29" s="6">
        <f t="shared" si="72"/>
        <v>5969.0050182746763</v>
      </c>
      <c r="FB29" s="6">
        <f t="shared" si="73"/>
        <v>12018.312043481452</v>
      </c>
      <c r="FC29" s="6"/>
      <c r="FD29" s="6">
        <f t="shared" si="74"/>
        <v>32095.411964053288</v>
      </c>
      <c r="FE29" s="6">
        <f t="shared" si="75"/>
        <v>80.302006932099232</v>
      </c>
      <c r="FF29" s="6">
        <v>15.13391917</v>
      </c>
      <c r="FG29" s="6">
        <f t="shared" si="76"/>
        <v>6067.1881952530002</v>
      </c>
      <c r="FH29" s="6">
        <v>15.437841990000001</v>
      </c>
      <c r="FI29" s="6">
        <f t="shared" si="77"/>
        <v>6189.0308537909996</v>
      </c>
      <c r="FJ29" s="6">
        <f t="shared" si="78"/>
        <v>-121.84265853800014</v>
      </c>
      <c r="FL29" s="5">
        <v>46080</v>
      </c>
      <c r="FM29" s="6">
        <v>473578.17312168801</v>
      </c>
      <c r="FN29" s="6">
        <f t="shared" si="79"/>
        <v>1184.8820567718931</v>
      </c>
      <c r="FO29" s="6">
        <v>419396.06108554697</v>
      </c>
      <c r="FP29" s="6">
        <f t="shared" si="80"/>
        <v>1049.3196174676398</v>
      </c>
      <c r="FQ29" s="6">
        <f t="shared" si="81"/>
        <v>2234.2016742395326</v>
      </c>
      <c r="FR29" s="6"/>
      <c r="FS29" s="6">
        <f t="shared" si="82"/>
        <v>54182.112036141043</v>
      </c>
      <c r="FT29" s="6">
        <f t="shared" si="83"/>
        <v>135.56243930425319</v>
      </c>
      <c r="FU29" s="6">
        <v>576035.95082699996</v>
      </c>
      <c r="FV29" s="6">
        <f t="shared" si="84"/>
        <v>1031.10435198033</v>
      </c>
      <c r="FW29" s="6">
        <v>676397.97835300001</v>
      </c>
      <c r="FX29" s="6">
        <f t="shared" si="85"/>
        <v>1210.75238125187</v>
      </c>
      <c r="FY29" s="6">
        <f t="shared" si="86"/>
        <v>-179.64802927154008</v>
      </c>
      <c r="GA29" s="5">
        <v>46080</v>
      </c>
      <c r="GB29" s="6">
        <v>473545.64873452397</v>
      </c>
      <c r="GC29" s="6">
        <f t="shared" si="87"/>
        <v>1184.800681478551</v>
      </c>
      <c r="GD29" s="6">
        <v>432279.26224804303</v>
      </c>
      <c r="GE29" s="6">
        <f t="shared" si="88"/>
        <v>1081.5531002538112</v>
      </c>
      <c r="GF29" s="6">
        <f t="shared" si="89"/>
        <v>2266.3537817323622</v>
      </c>
      <c r="GG29" s="6"/>
      <c r="GH29" s="6">
        <f t="shared" si="90"/>
        <v>41266.386486480944</v>
      </c>
      <c r="GI29" s="6">
        <f t="shared" si="91"/>
        <v>103.24758122473985</v>
      </c>
      <c r="GJ29" s="6">
        <v>593894.61668500013</v>
      </c>
      <c r="GK29" s="6">
        <f t="shared" si="92"/>
        <v>1063.0713638661503</v>
      </c>
      <c r="GL29" s="21">
        <v>676397.97835300001</v>
      </c>
      <c r="GM29" s="6">
        <f t="shared" si="93"/>
        <v>1210.75238125187</v>
      </c>
      <c r="GN29" s="6">
        <f t="shared" si="94"/>
        <v>-147.68101738571977</v>
      </c>
      <c r="GP29" s="5">
        <v>46080</v>
      </c>
      <c r="GQ29" s="6">
        <v>476104.91713187197</v>
      </c>
      <c r="GR29" s="6">
        <f t="shared" si="95"/>
        <v>1191.2039140905865</v>
      </c>
      <c r="GS29" s="6">
        <v>460019.49389787298</v>
      </c>
      <c r="GT29" s="6">
        <f t="shared" si="96"/>
        <v>1150.9585428989337</v>
      </c>
      <c r="GU29" s="6">
        <f t="shared" si="97"/>
        <v>2342.1624569895203</v>
      </c>
      <c r="GV29" s="6"/>
      <c r="GW29" s="6">
        <f t="shared" si="98"/>
        <v>16085.423233998998</v>
      </c>
      <c r="GX29" s="6">
        <f t="shared" si="99"/>
        <v>40.245371191652765</v>
      </c>
      <c r="GY29" s="6">
        <v>340.41634099999999</v>
      </c>
      <c r="GZ29" s="6">
        <f t="shared" si="100"/>
        <v>1158.096392082</v>
      </c>
      <c r="HA29" s="6">
        <v>366.80107500000003</v>
      </c>
      <c r="HB29" s="6">
        <f t="shared" si="101"/>
        <v>1247.8572571500001</v>
      </c>
      <c r="HC29" s="6">
        <f t="shared" si="207"/>
        <v>-89.760865068000129</v>
      </c>
      <c r="HE29" s="5">
        <v>46080</v>
      </c>
      <c r="HF29" s="6">
        <v>472274.76903576602</v>
      </c>
      <c r="HG29" s="6">
        <f t="shared" si="102"/>
        <v>1181.6209687366231</v>
      </c>
      <c r="HH29" s="6">
        <v>424305.42613831192</v>
      </c>
      <c r="HI29" s="6">
        <f t="shared" si="103"/>
        <v>1061.602739645379</v>
      </c>
      <c r="HJ29" s="6">
        <f t="shared" si="104"/>
        <v>2243.2237083820019</v>
      </c>
      <c r="HK29" s="6"/>
      <c r="HL29" s="6">
        <f t="shared" si="105"/>
        <v>47969.342897454102</v>
      </c>
      <c r="HM29" s="6">
        <f t="shared" si="106"/>
        <v>120.01822909124411</v>
      </c>
      <c r="HN29" s="6">
        <v>313.79204800000002</v>
      </c>
      <c r="HO29" s="6">
        <f t="shared" si="107"/>
        <v>1067.5205472960001</v>
      </c>
      <c r="HP29" s="6">
        <v>363.87255900000002</v>
      </c>
      <c r="HQ29" s="6">
        <f t="shared" si="108"/>
        <v>1237.894445718</v>
      </c>
      <c r="HR29" s="6">
        <f t="shared" si="109"/>
        <v>-170.37389842200002</v>
      </c>
      <c r="HT29" s="5">
        <v>46080</v>
      </c>
      <c r="HU29" s="6">
        <v>472723.35083378799</v>
      </c>
      <c r="HV29" s="6">
        <f t="shared" si="110"/>
        <v>1182.7433104188149</v>
      </c>
      <c r="HW29" s="6">
        <v>480193.895348883</v>
      </c>
      <c r="HX29" s="6">
        <f t="shared" si="111"/>
        <v>1201.4344466506725</v>
      </c>
      <c r="HY29" s="6">
        <f t="shared" si="112"/>
        <v>2384.1777570694876</v>
      </c>
      <c r="HZ29" s="6"/>
      <c r="IA29" s="6">
        <f t="shared" si="113"/>
        <v>-7470.5445150950109</v>
      </c>
      <c r="IB29" s="6">
        <f t="shared" si="114"/>
        <v>-18.691136231857698</v>
      </c>
      <c r="IC29" s="6">
        <v>2.00606332</v>
      </c>
      <c r="ID29" s="6">
        <f t="shared" si="115"/>
        <v>1217.7004958732</v>
      </c>
      <c r="IE29" s="6">
        <v>2.0565766399999998</v>
      </c>
      <c r="IF29" s="6">
        <f t="shared" si="116"/>
        <v>1248.3625862463998</v>
      </c>
      <c r="IG29" s="6">
        <f t="shared" si="117"/>
        <v>-30.662090373199916</v>
      </c>
      <c r="II29" s="5">
        <v>46080</v>
      </c>
      <c r="IJ29" s="6">
        <v>469761.65568165499</v>
      </c>
      <c r="IK29" s="6">
        <f t="shared" si="118"/>
        <v>1175.3332150162782</v>
      </c>
      <c r="IL29" s="6">
        <v>480193.895348883</v>
      </c>
      <c r="IM29" s="6">
        <f t="shared" si="119"/>
        <v>1201.4344466506725</v>
      </c>
      <c r="IN29" s="6">
        <f t="shared" si="120"/>
        <v>2376.7676616669505</v>
      </c>
      <c r="IO29" s="6"/>
      <c r="IP29" s="6">
        <f t="shared" si="121"/>
        <v>-10432.239667228016</v>
      </c>
      <c r="IQ29" s="6">
        <f t="shared" si="122"/>
        <v>-26.101231634394292</v>
      </c>
      <c r="IR29" s="6">
        <v>2.0059784399999998</v>
      </c>
      <c r="IS29" s="6">
        <f t="shared" si="123"/>
        <v>1217.6489728643999</v>
      </c>
      <c r="IT29" s="6">
        <v>2.0432709500000001</v>
      </c>
      <c r="IU29" s="6">
        <f t="shared" si="124"/>
        <v>1240.2858993595</v>
      </c>
      <c r="IV29" s="6">
        <f t="shared" si="125"/>
        <v>-22.636926495100202</v>
      </c>
      <c r="IX29" s="5">
        <v>46080</v>
      </c>
      <c r="IY29" s="6">
        <v>537573.80026870605</v>
      </c>
      <c r="IZ29" s="6">
        <f>IY29*P29*O29</f>
        <v>1344.9976926309844</v>
      </c>
      <c r="JA29" s="6">
        <v>582136.61311194999</v>
      </c>
      <c r="JB29" s="6">
        <f t="shared" si="127"/>
        <v>1456.4928592878232</v>
      </c>
      <c r="JC29" s="6">
        <f t="shared" si="128"/>
        <v>2801.4905519188078</v>
      </c>
      <c r="JD29" s="6"/>
      <c r="JE29" s="6">
        <f t="shared" si="129"/>
        <v>-44562.812843243941</v>
      </c>
      <c r="JF29" s="6">
        <f t="shared" si="130"/>
        <v>-111.49516665683869</v>
      </c>
      <c r="JG29" s="6">
        <v>11.270266550000001</v>
      </c>
      <c r="JH29" s="6">
        <f t="shared" si="131"/>
        <v>1470.2062714474998</v>
      </c>
      <c r="JI29" s="6">
        <v>10.61796015</v>
      </c>
      <c r="JJ29" s="6">
        <f t="shared" si="132"/>
        <v>1385.1129015674999</v>
      </c>
      <c r="JK29" s="6">
        <f t="shared" si="133"/>
        <v>85.093369880000054</v>
      </c>
      <c r="JM29" s="5">
        <v>46080</v>
      </c>
      <c r="JN29" s="6">
        <v>549071.25877051707</v>
      </c>
      <c r="JO29" s="6">
        <f t="shared" si="134"/>
        <v>1373.7640780990384</v>
      </c>
      <c r="JP29" s="6">
        <v>582136.61311194999</v>
      </c>
      <c r="JQ29" s="6">
        <f t="shared" si="135"/>
        <v>1456.4928592878232</v>
      </c>
      <c r="JR29" s="6">
        <f t="shared" si="136"/>
        <v>2830.2569373868619</v>
      </c>
      <c r="JS29" s="6"/>
      <c r="JT29" s="6">
        <f t="shared" si="137"/>
        <v>-33065.354341432918</v>
      </c>
      <c r="JU29" s="6">
        <f t="shared" si="138"/>
        <v>-82.728781188784595</v>
      </c>
      <c r="JV29" s="6">
        <v>11.26947695</v>
      </c>
      <c r="JW29" s="6">
        <f t="shared" si="139"/>
        <v>1470.1032681274999</v>
      </c>
      <c r="JX29" s="6">
        <v>10.846307210000001</v>
      </c>
      <c r="JY29" s="6">
        <f t="shared" si="140"/>
        <v>1414.9007755445</v>
      </c>
      <c r="JZ29" s="6">
        <f t="shared" si="141"/>
        <v>55.202492582999831</v>
      </c>
      <c r="KB29" s="5">
        <v>46080</v>
      </c>
      <c r="KC29" s="6">
        <v>550367.80814343202</v>
      </c>
      <c r="KD29" s="6">
        <f t="shared" si="142"/>
        <v>1377.0080157948137</v>
      </c>
      <c r="KE29" s="6">
        <v>579795.64787346194</v>
      </c>
      <c r="KF29" s="6">
        <f t="shared" si="143"/>
        <v>1450.635816324193</v>
      </c>
      <c r="KG29" s="6">
        <f t="shared" si="144"/>
        <v>2827.6438321190067</v>
      </c>
      <c r="KH29" s="6"/>
      <c r="KI29" s="6">
        <f t="shared" si="145"/>
        <v>-29427.839730029926</v>
      </c>
      <c r="KJ29" s="6">
        <f t="shared" si="146"/>
        <v>-73.627800529379272</v>
      </c>
      <c r="KK29" s="6">
        <v>2.1776646710000001</v>
      </c>
      <c r="KL29" s="6">
        <f t="shared" si="147"/>
        <v>1497.3622277796001</v>
      </c>
      <c r="KM29" s="6">
        <v>2.1090641159999999</v>
      </c>
      <c r="KN29" s="6">
        <f t="shared" si="148"/>
        <v>1450.1924861616001</v>
      </c>
      <c r="KO29" s="6">
        <f t="shared" si="149"/>
        <v>47.169741618000124</v>
      </c>
      <c r="KQ29" s="5">
        <v>46080</v>
      </c>
      <c r="KR29" s="6">
        <v>549953.80318484292</v>
      </c>
      <c r="KS29" s="6">
        <f t="shared" si="150"/>
        <v>1375.9721845958941</v>
      </c>
      <c r="KT29" s="6">
        <v>579795.64787346194</v>
      </c>
      <c r="KU29" s="6">
        <f t="shared" si="151"/>
        <v>1450.635816324193</v>
      </c>
      <c r="KV29" s="6">
        <f t="shared" si="152"/>
        <v>2826.6080009200869</v>
      </c>
      <c r="KW29" s="6"/>
      <c r="KX29" s="6">
        <f t="shared" si="153"/>
        <v>-29841.844688619021</v>
      </c>
      <c r="KY29" s="6">
        <f t="shared" si="154"/>
        <v>-74.66363172829891</v>
      </c>
      <c r="KZ29" s="6">
        <v>2.177560122</v>
      </c>
      <c r="LA29" s="6">
        <f t="shared" si="155"/>
        <v>1497.2903398872002</v>
      </c>
      <c r="LB29" s="6">
        <v>2.108310736</v>
      </c>
      <c r="LC29" s="6">
        <f t="shared" si="156"/>
        <v>1449.6744620736001</v>
      </c>
      <c r="LD29" s="6">
        <f t="shared" si="157"/>
        <v>47.615877813600058</v>
      </c>
      <c r="LF29" s="5">
        <v>46080</v>
      </c>
      <c r="LG29" s="6">
        <v>575266.96816758998</v>
      </c>
      <c r="LH29" s="6">
        <f t="shared" si="158"/>
        <v>1439.3051604179379</v>
      </c>
      <c r="LI29" s="6">
        <v>528381.27303610498</v>
      </c>
      <c r="LJ29" s="6">
        <f t="shared" si="159"/>
        <v>1321.9981939368224</v>
      </c>
      <c r="LK29" s="6">
        <f t="shared" si="160"/>
        <v>2761.3033543547604</v>
      </c>
      <c r="LL29" s="6"/>
      <c r="LM29" s="6">
        <f t="shared" si="161"/>
        <v>46885.695131485001</v>
      </c>
      <c r="LN29" s="6">
        <f t="shared" si="162"/>
        <v>117.30696648111574</v>
      </c>
      <c r="LO29" s="6">
        <v>15.89288473</v>
      </c>
      <c r="LP29" s="6">
        <f t="shared" si="163"/>
        <v>1325.4665864820001</v>
      </c>
      <c r="LQ29" s="6">
        <v>17.6454925</v>
      </c>
      <c r="LR29" s="6">
        <f t="shared" si="164"/>
        <v>1471.6340745</v>
      </c>
      <c r="LS29" s="6">
        <f t="shared" si="165"/>
        <v>-146.16748801799994</v>
      </c>
      <c r="LU29" s="5">
        <v>46080</v>
      </c>
      <c r="LV29" s="6">
        <v>575226.25910022506</v>
      </c>
      <c r="LW29" s="6">
        <f t="shared" si="166"/>
        <v>1439.2033072367606</v>
      </c>
      <c r="LX29" s="6">
        <v>531034.37394031894</v>
      </c>
      <c r="LY29" s="6">
        <f t="shared" si="167"/>
        <v>1328.6361933942014</v>
      </c>
      <c r="LZ29" s="6">
        <f t="shared" si="168"/>
        <v>2767.839500630962</v>
      </c>
      <c r="MA29" s="6"/>
      <c r="MB29" s="6">
        <f t="shared" si="169"/>
        <v>44191.885159906116</v>
      </c>
      <c r="MC29" s="6">
        <f t="shared" si="170"/>
        <v>110.56711384255914</v>
      </c>
      <c r="MD29" s="6">
        <v>15.979712080000001</v>
      </c>
      <c r="ME29" s="6">
        <f t="shared" si="171"/>
        <v>1332.7079874720002</v>
      </c>
      <c r="MF29" s="6">
        <v>17.6454925</v>
      </c>
      <c r="MG29" s="6">
        <f t="shared" si="172"/>
        <v>1471.6340745</v>
      </c>
      <c r="MH29" s="6">
        <f t="shared" si="173"/>
        <v>-138.92608702799993</v>
      </c>
      <c r="MJ29" s="5">
        <v>46080</v>
      </c>
      <c r="MK29" s="6">
        <v>567936.0553605631</v>
      </c>
      <c r="ML29" s="6">
        <f t="shared" si="174"/>
        <v>1420.9633796142573</v>
      </c>
      <c r="MM29" s="6">
        <v>582043.57429558807</v>
      </c>
      <c r="MN29" s="6">
        <f t="shared" si="175"/>
        <v>1456.2600782384689</v>
      </c>
      <c r="MO29" s="6">
        <f t="shared" si="176"/>
        <v>2877.2234578527259</v>
      </c>
      <c r="MP29" s="6"/>
      <c r="MQ29" s="6">
        <f t="shared" si="177"/>
        <v>-14107.518935024971</v>
      </c>
      <c r="MR29" s="6">
        <f t="shared" si="178"/>
        <v>-35.296698624211359</v>
      </c>
      <c r="MS29" s="6">
        <v>4.8310504700000001</v>
      </c>
      <c r="MT29" s="6">
        <f t="shared" si="179"/>
        <v>1496.8526776248</v>
      </c>
      <c r="MU29" s="6">
        <v>4.8111493799999998</v>
      </c>
      <c r="MV29" s="6">
        <f t="shared" si="180"/>
        <v>1490.6865238991998</v>
      </c>
      <c r="MW29" s="6">
        <f t="shared" si="181"/>
        <v>6.1661537256000889</v>
      </c>
      <c r="MY29" s="5">
        <v>46080</v>
      </c>
      <c r="MZ29" s="6">
        <v>614480.13272023608</v>
      </c>
      <c r="NA29" s="6">
        <f t="shared" si="182"/>
        <v>1537.4156260278789</v>
      </c>
      <c r="NB29" s="6">
        <v>577431.44522398105</v>
      </c>
      <c r="NC29" s="6">
        <f t="shared" si="183"/>
        <v>1444.7206338750586</v>
      </c>
      <c r="ND29" s="6">
        <f t="shared" si="184"/>
        <v>2982.1362599029376</v>
      </c>
      <c r="NE29" s="6"/>
      <c r="NF29" s="6">
        <f t="shared" si="185"/>
        <v>37048.687496255036</v>
      </c>
      <c r="NG29" s="6">
        <f t="shared" si="186"/>
        <v>92.694992152820177</v>
      </c>
      <c r="NH29" s="6">
        <v>4.7922499999999992</v>
      </c>
      <c r="NI29" s="6">
        <f t="shared" si="187"/>
        <v>1484.8307399999997</v>
      </c>
      <c r="NJ29" s="6">
        <v>5.20838775</v>
      </c>
      <c r="NK29" s="6">
        <f t="shared" si="188"/>
        <v>1613.7668604599999</v>
      </c>
      <c r="NL29" s="6">
        <f t="shared" si="189"/>
        <v>-128.93612046000021</v>
      </c>
      <c r="NN29" s="5">
        <v>46080</v>
      </c>
      <c r="NO29" s="6">
        <v>567599.97317564103</v>
      </c>
      <c r="NP29" s="6">
        <f t="shared" si="190"/>
        <v>1420.1225094620504</v>
      </c>
      <c r="NQ29" s="6">
        <v>546898.66327286698</v>
      </c>
      <c r="NR29" s="6">
        <f t="shared" si="191"/>
        <v>1368.3282924824418</v>
      </c>
      <c r="NS29" s="6">
        <f t="shared" si="192"/>
        <v>2788.450801944492</v>
      </c>
      <c r="NT29" s="6"/>
      <c r="NU29" s="6">
        <f t="shared" si="193"/>
        <v>20701.309902774054</v>
      </c>
      <c r="NV29" s="6">
        <f t="shared" si="194"/>
        <v>51.794216979608436</v>
      </c>
      <c r="NW29" s="6">
        <v>199396.59649</v>
      </c>
      <c r="NX29" s="6">
        <f t="shared" si="195"/>
        <v>1353.9028901670999</v>
      </c>
      <c r="NY29" s="6">
        <v>215431.121942</v>
      </c>
      <c r="NZ29" s="6">
        <f t="shared" si="196"/>
        <v>1462.7773179861799</v>
      </c>
      <c r="OA29" s="6">
        <f t="shared" si="197"/>
        <v>-108.87442781908001</v>
      </c>
      <c r="OC29" s="5">
        <v>46080</v>
      </c>
      <c r="OD29" s="6">
        <v>567575.880689251</v>
      </c>
      <c r="OE29" s="6">
        <f t="shared" si="198"/>
        <v>1420.0622305969193</v>
      </c>
      <c r="OF29" s="6">
        <v>555369.46817887109</v>
      </c>
      <c r="OG29" s="6">
        <f t="shared" si="199"/>
        <v>1389.5220579665629</v>
      </c>
      <c r="OH29" s="6">
        <f t="shared" si="200"/>
        <v>2809.584288563482</v>
      </c>
      <c r="OI29" s="6"/>
      <c r="OJ29" s="6">
        <f t="shared" si="201"/>
        <v>12206.412510379916</v>
      </c>
      <c r="OK29" s="6">
        <f t="shared" si="202"/>
        <v>30.540172630356317</v>
      </c>
      <c r="OL29" s="6">
        <v>202561.45131599999</v>
      </c>
      <c r="OM29" s="6">
        <f t="shared" si="203"/>
        <v>1375.3922544356399</v>
      </c>
      <c r="ON29" s="6">
        <v>215431.121942</v>
      </c>
      <c r="OO29" s="6">
        <f t="shared" si="204"/>
        <v>1462.7773179861799</v>
      </c>
      <c r="OP29" s="6">
        <f>(OL29-ON29)*N29</f>
        <v>-87.385063550540039</v>
      </c>
    </row>
    <row r="30" spans="1:406" x14ac:dyDescent="0.2">
      <c r="A30" s="5">
        <v>46081</v>
      </c>
      <c r="B30" s="10">
        <v>178.5</v>
      </c>
      <c r="C30" s="6">
        <v>76.239999999999995</v>
      </c>
      <c r="D30" s="6">
        <v>178.1</v>
      </c>
      <c r="E30" s="6">
        <v>485.51</v>
      </c>
      <c r="F30" s="6">
        <v>403.01</v>
      </c>
      <c r="G30" s="2">
        <v>1.92E-3</v>
      </c>
      <c r="H30" s="6">
        <v>3.476</v>
      </c>
      <c r="I30" s="6">
        <v>607.11</v>
      </c>
      <c r="J30" s="6">
        <v>133.5</v>
      </c>
      <c r="K30" s="6">
        <v>687.63</v>
      </c>
      <c r="L30" s="6">
        <v>83.49</v>
      </c>
      <c r="M30" s="6">
        <v>308.77</v>
      </c>
      <c r="N30" s="6">
        <v>6.9899999999999997E-3</v>
      </c>
      <c r="O30" s="6">
        <v>84.340999999999994</v>
      </c>
      <c r="P30" s="7">
        <v>3.1199999999999999E-5</v>
      </c>
      <c r="R30" s="5">
        <v>46081</v>
      </c>
      <c r="S30" s="6">
        <v>575248.64329676703</v>
      </c>
      <c r="T30" s="6">
        <f t="shared" si="0"/>
        <v>1513.7318297179297</v>
      </c>
      <c r="U30" s="6">
        <v>598163.03912160802</v>
      </c>
      <c r="V30" s="6">
        <f t="shared" si="1"/>
        <v>1574.0296691357328</v>
      </c>
      <c r="W30" s="6">
        <f t="shared" si="2"/>
        <v>3087.7614988536625</v>
      </c>
      <c r="X30" s="6"/>
      <c r="Y30" s="6">
        <f t="shared" si="3"/>
        <v>-22914.395824840991</v>
      </c>
      <c r="Z30" s="6">
        <f t="shared" si="4"/>
        <v>-60.297839417802905</v>
      </c>
      <c r="AA30" s="6">
        <v>8.5958500099999995</v>
      </c>
      <c r="AB30" s="6">
        <f t="shared" si="5"/>
        <v>1534.3592267849999</v>
      </c>
      <c r="AC30" s="6">
        <v>8.4345945799999988</v>
      </c>
      <c r="AD30" s="6">
        <f t="shared" si="6"/>
        <v>1505.5751325299998</v>
      </c>
      <c r="AE30" s="6">
        <f t="shared" si="7"/>
        <v>28.784094255000113</v>
      </c>
      <c r="AG30" s="5">
        <v>46081</v>
      </c>
      <c r="AH30" s="6">
        <v>586523.8035001799</v>
      </c>
      <c r="AI30" s="6">
        <f t="shared" si="8"/>
        <v>1543.4017282634707</v>
      </c>
      <c r="AJ30" s="6">
        <v>598163.03912160802</v>
      </c>
      <c r="AK30" s="6">
        <f t="shared" si="9"/>
        <v>1574.0296691357328</v>
      </c>
      <c r="AL30" s="6">
        <f t="shared" si="10"/>
        <v>3117.4313973992034</v>
      </c>
      <c r="AM30" s="6"/>
      <c r="AN30" s="6">
        <f t="shared" si="11"/>
        <v>-11639.235621428117</v>
      </c>
      <c r="AO30" s="6">
        <f t="shared" si="12"/>
        <v>-30.627940872262307</v>
      </c>
      <c r="AP30" s="6">
        <v>8.5948900899999998</v>
      </c>
      <c r="AQ30" s="6">
        <f t="shared" si="13"/>
        <v>1534.1878810650001</v>
      </c>
      <c r="AR30" s="6">
        <v>8.6010937699999985</v>
      </c>
      <c r="AS30" s="6">
        <f t="shared" si="14"/>
        <v>1535.2952379449998</v>
      </c>
      <c r="AT30" s="6">
        <f t="shared" si="15"/>
        <v>-1.1073568799997702</v>
      </c>
      <c r="AV30" s="5">
        <v>46081</v>
      </c>
      <c r="AW30" s="6">
        <v>585225.54742889805</v>
      </c>
      <c r="AX30" s="6">
        <f t="shared" si="16"/>
        <v>1539.9854463458612</v>
      </c>
      <c r="AY30" s="6">
        <v>598319.27181829198</v>
      </c>
      <c r="AZ30" s="6">
        <f t="shared" si="17"/>
        <v>1574.4407859781086</v>
      </c>
      <c r="BA30" s="6">
        <f t="shared" si="18"/>
        <v>3114.42623232397</v>
      </c>
      <c r="BB30" s="6"/>
      <c r="BC30" s="6">
        <f t="shared" si="206"/>
        <v>-13093.72438939393</v>
      </c>
      <c r="BD30" s="6">
        <f t="shared" si="19"/>
        <v>-34.455339632247252</v>
      </c>
      <c r="BE30" s="6">
        <v>19.812953960000002</v>
      </c>
      <c r="BF30" s="6">
        <f t="shared" si="20"/>
        <v>1510.5396099104</v>
      </c>
      <c r="BG30" s="6">
        <v>19.76868133</v>
      </c>
      <c r="BH30" s="6">
        <f t="shared" si="21"/>
        <v>1507.1642645991999</v>
      </c>
      <c r="BI30" s="6">
        <f t="shared" si="22"/>
        <v>3.3753453112001379</v>
      </c>
      <c r="BK30" s="5">
        <v>46081</v>
      </c>
      <c r="BL30" s="6">
        <v>599768.71291446802</v>
      </c>
      <c r="BM30" s="6">
        <f t="shared" si="23"/>
        <v>1578.2549020966771</v>
      </c>
      <c r="BN30" s="6">
        <v>598319.27181829198</v>
      </c>
      <c r="BO30" s="6">
        <f t="shared" si="24"/>
        <v>1574.4407859781086</v>
      </c>
      <c r="BP30" s="6">
        <f t="shared" si="25"/>
        <v>3152.6956880747857</v>
      </c>
      <c r="BQ30" s="6"/>
      <c r="BR30" s="6">
        <f t="shared" si="26"/>
        <v>1449.4410961760441</v>
      </c>
      <c r="BS30" s="6">
        <f t="shared" si="27"/>
        <v>3.8141161185686121</v>
      </c>
      <c r="BT30" s="6">
        <v>19.810812429999999</v>
      </c>
      <c r="BU30" s="6">
        <f t="shared" si="28"/>
        <v>1510.3763396631998</v>
      </c>
      <c r="BV30" s="6">
        <v>20.27026794</v>
      </c>
      <c r="BW30" s="6">
        <f t="shared" si="29"/>
        <v>1545.4052277455999</v>
      </c>
      <c r="BX30" s="6">
        <f t="shared" si="30"/>
        <v>-35.028888082400115</v>
      </c>
      <c r="BZ30" s="5">
        <v>46081</v>
      </c>
      <c r="CA30" s="6">
        <v>597410.58563032898</v>
      </c>
      <c r="CB30" s="6">
        <f t="shared" si="31"/>
        <v>1572.0496335226044</v>
      </c>
      <c r="CC30" s="6">
        <v>603482.19369581097</v>
      </c>
      <c r="CD30" s="6">
        <f t="shared" si="32"/>
        <v>1588.0267009931497</v>
      </c>
      <c r="CE30" s="6">
        <f t="shared" si="33"/>
        <v>3160.0763345157538</v>
      </c>
      <c r="CF30" s="6"/>
      <c r="CG30" s="6">
        <f t="shared" si="34"/>
        <v>-6071.6080654819962</v>
      </c>
      <c r="CH30" s="6">
        <f t="shared" si="35"/>
        <v>-15.97706747054549</v>
      </c>
      <c r="CI30" s="6">
        <v>8.4698130499999991</v>
      </c>
      <c r="CJ30" s="6">
        <f t="shared" si="36"/>
        <v>1508.4737042049999</v>
      </c>
      <c r="CK30" s="6">
        <v>8.5557525200000004</v>
      </c>
      <c r="CL30" s="6">
        <f t="shared" si="37"/>
        <v>1523.779523812</v>
      </c>
      <c r="CM30" s="6">
        <f t="shared" si="38"/>
        <v>-15.30581960700024</v>
      </c>
      <c r="CO30" s="5">
        <v>46081</v>
      </c>
      <c r="CP30" s="6">
        <v>597379.91140452796</v>
      </c>
      <c r="CQ30" s="6">
        <f t="shared" si="39"/>
        <v>1571.9689161624017</v>
      </c>
      <c r="CR30" s="6">
        <v>591329.18415124808</v>
      </c>
      <c r="CS30" s="6">
        <f t="shared" si="40"/>
        <v>1556.0467952796128</v>
      </c>
      <c r="CT30" s="6">
        <f t="shared" si="41"/>
        <v>3128.0157114420144</v>
      </c>
      <c r="CU30" s="6"/>
      <c r="CV30" s="6">
        <f t="shared" si="42"/>
        <v>6050.7272532798816</v>
      </c>
      <c r="CW30" s="6">
        <f t="shared" si="43"/>
        <v>15.922120882789008</v>
      </c>
      <c r="CX30" s="6">
        <v>8.2957113699999994</v>
      </c>
      <c r="CY30" s="6">
        <f t="shared" si="44"/>
        <v>1477.4661949969998</v>
      </c>
      <c r="CZ30" s="6">
        <v>8.5557525200000004</v>
      </c>
      <c r="DA30" s="6">
        <f t="shared" si="45"/>
        <v>1523.779523812</v>
      </c>
      <c r="DB30" s="6">
        <f t="shared" si="46"/>
        <v>-46.313328815000183</v>
      </c>
      <c r="DD30" s="5">
        <v>46081</v>
      </c>
      <c r="DE30" s="6">
        <v>585485.12295711401</v>
      </c>
      <c r="DF30" s="6">
        <f t="shared" si="47"/>
        <v>1540.6685035661696</v>
      </c>
      <c r="DG30" s="6">
        <v>600543.18675386312</v>
      </c>
      <c r="DH30" s="6">
        <f t="shared" si="48"/>
        <v>1580.2928829170362</v>
      </c>
      <c r="DI30" s="6">
        <f t="shared" si="49"/>
        <v>3120.9613864832058</v>
      </c>
      <c r="DJ30" s="6"/>
      <c r="DK30" s="6">
        <f t="shared" si="50"/>
        <v>-15058.063796749106</v>
      </c>
      <c r="DL30" s="6">
        <f t="shared" si="51"/>
        <v>-39.624379350866427</v>
      </c>
      <c r="DM30" s="6">
        <v>3.05600045</v>
      </c>
      <c r="DN30" s="6">
        <f t="shared" si="52"/>
        <v>1483.7187784794999</v>
      </c>
      <c r="DO30" s="6">
        <v>3.03934931</v>
      </c>
      <c r="DP30" s="6">
        <f t="shared" si="53"/>
        <v>1475.6344834981001</v>
      </c>
      <c r="DQ30" s="6">
        <f t="shared" si="54"/>
        <v>8.0842949814000047</v>
      </c>
      <c r="DS30" s="5">
        <v>46081</v>
      </c>
      <c r="DT30" s="6">
        <v>578615.64469146309</v>
      </c>
      <c r="DU30" s="6">
        <f t="shared" si="55"/>
        <v>1522.5918891743877</v>
      </c>
      <c r="DV30" s="6">
        <v>598180.34516016301</v>
      </c>
      <c r="DW30" s="6">
        <f t="shared" si="56"/>
        <v>1574.0752089239829</v>
      </c>
      <c r="DX30" s="6">
        <f t="shared" si="57"/>
        <v>3096.6670980983708</v>
      </c>
      <c r="DY30" s="6"/>
      <c r="DZ30" s="6">
        <f t="shared" si="58"/>
        <v>-19564.700468699913</v>
      </c>
      <c r="EA30" s="6">
        <f t="shared" si="59"/>
        <v>-51.483319749595317</v>
      </c>
      <c r="EB30" s="6">
        <v>3.0435212900000002</v>
      </c>
      <c r="EC30" s="6">
        <f t="shared" si="60"/>
        <v>1477.6600215079</v>
      </c>
      <c r="ED30" s="6">
        <v>3.00372905</v>
      </c>
      <c r="EE30" s="6">
        <f t="shared" si="61"/>
        <v>1458.3404910654999</v>
      </c>
      <c r="EF30" s="6">
        <f t="shared" si="62"/>
        <v>19.319530442400069</v>
      </c>
      <c r="EH30" s="5">
        <v>46081</v>
      </c>
      <c r="EI30" s="6">
        <v>2489386.996882854</v>
      </c>
      <c r="EJ30" s="6">
        <f t="shared" si="63"/>
        <v>6550.6705275678187</v>
      </c>
      <c r="EK30" s="6">
        <v>2535467.1910973322</v>
      </c>
      <c r="EL30" s="6">
        <f t="shared" si="64"/>
        <v>6671.9277569674105</v>
      </c>
      <c r="EM30" s="6">
        <f t="shared" si="65"/>
        <v>13222.59828453523</v>
      </c>
      <c r="EN30" s="6"/>
      <c r="EO30" s="6">
        <f t="shared" si="66"/>
        <v>-46080.194214478135</v>
      </c>
      <c r="EP30" s="6">
        <f t="shared" si="67"/>
        <v>-121.25722939959097</v>
      </c>
      <c r="EQ30" s="6">
        <v>15.953839889999999</v>
      </c>
      <c r="ER30" s="6">
        <f t="shared" si="68"/>
        <v>6429.5570140688997</v>
      </c>
      <c r="ES30" s="6">
        <v>15.73304671</v>
      </c>
      <c r="ET30" s="6">
        <f t="shared" si="69"/>
        <v>6340.5751545970998</v>
      </c>
      <c r="EU30" s="6">
        <f t="shared" si="70"/>
        <v>88.981859471799737</v>
      </c>
      <c r="EW30" s="5">
        <v>46081</v>
      </c>
      <c r="EX30" s="6">
        <v>2488317.696831781</v>
      </c>
      <c r="EY30" s="6">
        <f t="shared" si="71"/>
        <v>6547.8567294968634</v>
      </c>
      <c r="EZ30" s="6">
        <v>2508708.44150199</v>
      </c>
      <c r="FA30" s="6">
        <f t="shared" si="72"/>
        <v>6601.5137343392425</v>
      </c>
      <c r="FB30" s="6">
        <f t="shared" si="73"/>
        <v>13149.370463836105</v>
      </c>
      <c r="FC30" s="6"/>
      <c r="FD30" s="6">
        <f t="shared" si="74"/>
        <v>-20390.744670209009</v>
      </c>
      <c r="FE30" s="6">
        <f t="shared" si="75"/>
        <v>-53.65700484237906</v>
      </c>
      <c r="FF30" s="6">
        <v>15.75577206</v>
      </c>
      <c r="FG30" s="6">
        <f t="shared" si="76"/>
        <v>6349.7336979005995</v>
      </c>
      <c r="FH30" s="6">
        <v>15.73304671</v>
      </c>
      <c r="FI30" s="6">
        <f t="shared" si="77"/>
        <v>6340.5751545970998</v>
      </c>
      <c r="FJ30" s="6">
        <f t="shared" si="78"/>
        <v>9.1585433034999912</v>
      </c>
      <c r="FL30" s="5">
        <v>46081</v>
      </c>
      <c r="FM30" s="6">
        <v>489656.85364739603</v>
      </c>
      <c r="FN30" s="6">
        <f t="shared" si="79"/>
        <v>1288.5022392364208</v>
      </c>
      <c r="FO30" s="6">
        <v>499130.30216113199</v>
      </c>
      <c r="FP30" s="6">
        <f t="shared" si="80"/>
        <v>1313.4310430146472</v>
      </c>
      <c r="FQ30" s="6">
        <f t="shared" si="81"/>
        <v>2601.9332822510678</v>
      </c>
      <c r="FR30" s="6"/>
      <c r="FS30" s="6">
        <f t="shared" si="82"/>
        <v>-9473.4485137359588</v>
      </c>
      <c r="FT30" s="6">
        <f t="shared" si="83"/>
        <v>-24.928803778226538</v>
      </c>
      <c r="FU30" s="6">
        <v>688508.19819999998</v>
      </c>
      <c r="FV30" s="6">
        <f t="shared" si="84"/>
        <v>1321.9357405440001</v>
      </c>
      <c r="FW30" s="6">
        <v>702485.41743100004</v>
      </c>
      <c r="FX30" s="6">
        <f t="shared" si="85"/>
        <v>1348.7720014675201</v>
      </c>
      <c r="FY30" s="6">
        <f t="shared" si="86"/>
        <v>-26.836260923520104</v>
      </c>
      <c r="GA30" s="5">
        <v>46081</v>
      </c>
      <c r="GB30" s="6">
        <v>489630.04501908203</v>
      </c>
      <c r="GC30" s="6">
        <f t="shared" si="87"/>
        <v>1288.4316939609771</v>
      </c>
      <c r="GD30" s="6">
        <v>493779.09492213413</v>
      </c>
      <c r="GE30" s="6">
        <f t="shared" si="88"/>
        <v>1299.3496665186246</v>
      </c>
      <c r="GF30" s="6">
        <f t="shared" si="89"/>
        <v>2587.781360479602</v>
      </c>
      <c r="GG30" s="6"/>
      <c r="GH30" s="6">
        <f t="shared" si="90"/>
        <v>-4149.0499030521023</v>
      </c>
      <c r="GI30" s="6">
        <f t="shared" si="91"/>
        <v>-10.9179725576475</v>
      </c>
      <c r="GJ30" s="6">
        <v>680322.42556299991</v>
      </c>
      <c r="GK30" s="6">
        <f t="shared" si="92"/>
        <v>1306.2190570809598</v>
      </c>
      <c r="GL30" s="6">
        <v>702485.41743100004</v>
      </c>
      <c r="GM30" s="6">
        <f t="shared" si="93"/>
        <v>1348.7720014675201</v>
      </c>
      <c r="GN30" s="6">
        <f t="shared" si="94"/>
        <v>-42.552944386560249</v>
      </c>
      <c r="GP30" s="5">
        <v>46081</v>
      </c>
      <c r="GQ30" s="6">
        <v>489498.67490802897</v>
      </c>
      <c r="GR30" s="6">
        <f t="shared" si="95"/>
        <v>1288.0860015010437</v>
      </c>
      <c r="GS30" s="6">
        <v>469614.03506834002</v>
      </c>
      <c r="GT30" s="6">
        <f t="shared" si="96"/>
        <v>1235.7607807490044</v>
      </c>
      <c r="GU30" s="6">
        <f t="shared" si="97"/>
        <v>2523.8467822500479</v>
      </c>
      <c r="GV30" s="6"/>
      <c r="GW30" s="6">
        <f t="shared" si="98"/>
        <v>19884.639839688956</v>
      </c>
      <c r="GX30" s="6">
        <f t="shared" si="99"/>
        <v>52.325220752039229</v>
      </c>
      <c r="GY30" s="6">
        <v>348.56208199999992</v>
      </c>
      <c r="GZ30" s="6">
        <f t="shared" si="100"/>
        <v>1211.6017970319997</v>
      </c>
      <c r="HA30" s="6">
        <v>378.20555300000001</v>
      </c>
      <c r="HB30" s="6">
        <f t="shared" si="101"/>
        <v>1314.642502228</v>
      </c>
      <c r="HC30" s="6">
        <f t="shared" si="207"/>
        <v>-103.04070519600032</v>
      </c>
      <c r="HE30" s="5">
        <v>46081</v>
      </c>
      <c r="HF30" s="6">
        <v>489472.49047164898</v>
      </c>
      <c r="HG30" s="6">
        <f t="shared" si="102"/>
        <v>1288.0170987487236</v>
      </c>
      <c r="HH30" s="6">
        <v>517550.663844141</v>
      </c>
      <c r="HI30" s="6">
        <f t="shared" si="103"/>
        <v>1361.9031048254951</v>
      </c>
      <c r="HJ30" s="6">
        <f t="shared" si="104"/>
        <v>2649.9202035742187</v>
      </c>
      <c r="HK30" s="6"/>
      <c r="HL30" s="6">
        <f t="shared" si="105"/>
        <v>-28078.17337249202</v>
      </c>
      <c r="HM30" s="6">
        <f t="shared" si="106"/>
        <v>-73.886006076771693</v>
      </c>
      <c r="HN30" s="6">
        <v>384.00885099999999</v>
      </c>
      <c r="HO30" s="6">
        <f t="shared" si="107"/>
        <v>1334.8147660760001</v>
      </c>
      <c r="HP30" s="6">
        <v>378.20555300000001</v>
      </c>
      <c r="HQ30" s="6">
        <f t="shared" si="108"/>
        <v>1314.642502228</v>
      </c>
      <c r="HR30" s="6">
        <f t="shared" si="109"/>
        <v>20.172263847999943</v>
      </c>
      <c r="HT30" s="5">
        <v>46081</v>
      </c>
      <c r="HU30" s="6">
        <v>490515.44260155689</v>
      </c>
      <c r="HV30" s="6">
        <f t="shared" si="110"/>
        <v>1290.7615638670866</v>
      </c>
      <c r="HW30" s="6">
        <v>496955.56073495088</v>
      </c>
      <c r="HX30" s="6">
        <f t="shared" si="111"/>
        <v>1307.7083431759304</v>
      </c>
      <c r="HY30" s="6">
        <f t="shared" si="112"/>
        <v>2598.469907043017</v>
      </c>
      <c r="HZ30" s="6"/>
      <c r="IA30" s="6">
        <f t="shared" si="113"/>
        <v>-6440.1181333939894</v>
      </c>
      <c r="IB30" s="6">
        <f t="shared" si="114"/>
        <v>-16.946779308843769</v>
      </c>
      <c r="IC30" s="6">
        <v>2.0345213800000002</v>
      </c>
      <c r="ID30" s="6">
        <f t="shared" si="115"/>
        <v>1235.1782750118002</v>
      </c>
      <c r="IE30" s="6">
        <v>2.09133418</v>
      </c>
      <c r="IF30" s="6">
        <f t="shared" si="116"/>
        <v>1269.6698940198</v>
      </c>
      <c r="IG30" s="6">
        <f t="shared" si="117"/>
        <v>-34.49161900799993</v>
      </c>
      <c r="II30" s="5">
        <v>46081</v>
      </c>
      <c r="IJ30" s="6">
        <v>483369.082492218</v>
      </c>
      <c r="IK30" s="6">
        <f t="shared" si="118"/>
        <v>1271.9563517380561</v>
      </c>
      <c r="IL30" s="6">
        <v>496955.56073495088</v>
      </c>
      <c r="IM30" s="6">
        <f t="shared" si="119"/>
        <v>1307.7083431759304</v>
      </c>
      <c r="IN30" s="6">
        <f t="shared" si="120"/>
        <v>2579.6646949139868</v>
      </c>
      <c r="IO30" s="6"/>
      <c r="IP30" s="6">
        <f t="shared" si="121"/>
        <v>-13586.478242732876</v>
      </c>
      <c r="IQ30" s="6">
        <f t="shared" si="122"/>
        <v>-35.751991437874402</v>
      </c>
      <c r="IR30" s="6">
        <v>2.0344341099999999</v>
      </c>
      <c r="IS30" s="6">
        <f t="shared" si="123"/>
        <v>1235.1252925220999</v>
      </c>
      <c r="IT30" s="6">
        <v>2.0598599599999998</v>
      </c>
      <c r="IU30" s="6">
        <f t="shared" si="124"/>
        <v>1250.5615803155999</v>
      </c>
      <c r="IV30" s="6">
        <f t="shared" si="125"/>
        <v>-15.436287793499984</v>
      </c>
      <c r="IX30" s="5">
        <v>46081</v>
      </c>
      <c r="IY30" s="6">
        <v>603890.49706882983</v>
      </c>
      <c r="IZ30" s="6">
        <f t="shared" si="126"/>
        <v>1589.1011264944038</v>
      </c>
      <c r="JA30" s="6">
        <v>598255.70709690312</v>
      </c>
      <c r="JB30" s="6">
        <f t="shared" si="127"/>
        <v>1574.273519278509</v>
      </c>
      <c r="JC30" s="6">
        <f t="shared" si="128"/>
        <v>3163.374645772913</v>
      </c>
      <c r="JD30" s="6"/>
      <c r="JE30" s="6">
        <f t="shared" si="129"/>
        <v>5634.7899719267152</v>
      </c>
      <c r="JF30" s="6">
        <f t="shared" si="130"/>
        <v>14.827607215894856</v>
      </c>
      <c r="JG30" s="6">
        <v>11.57251037</v>
      </c>
      <c r="JH30" s="6">
        <f t="shared" si="131"/>
        <v>1544.9301343949999</v>
      </c>
      <c r="JI30" s="6">
        <v>11.917370439999999</v>
      </c>
      <c r="JJ30" s="6">
        <f t="shared" si="132"/>
        <v>1590.96895374</v>
      </c>
      <c r="JK30" s="6">
        <f t="shared" si="133"/>
        <v>-46.038819344999908</v>
      </c>
      <c r="JM30" s="5">
        <v>46081</v>
      </c>
      <c r="JN30" s="6">
        <v>619615.63989990007</v>
      </c>
      <c r="JO30" s="6">
        <f t="shared" si="134"/>
        <v>1630.480883765681</v>
      </c>
      <c r="JP30" s="6">
        <v>598255.70709690312</v>
      </c>
      <c r="JQ30" s="6">
        <f t="shared" si="135"/>
        <v>1574.273519278509</v>
      </c>
      <c r="JR30" s="6">
        <f t="shared" si="136"/>
        <v>3204.75440304419</v>
      </c>
      <c r="JS30" s="6"/>
      <c r="JT30" s="6">
        <f t="shared" si="137"/>
        <v>21359.932802996947</v>
      </c>
      <c r="JU30" s="6">
        <f t="shared" si="138"/>
        <v>56.207364487172036</v>
      </c>
      <c r="JV30" s="6">
        <v>11.57160418</v>
      </c>
      <c r="JW30" s="6">
        <f t="shared" si="139"/>
        <v>1544.8091580299999</v>
      </c>
      <c r="JX30" s="6">
        <v>12.22817055</v>
      </c>
      <c r="JY30" s="6">
        <f t="shared" si="140"/>
        <v>1632.460768425</v>
      </c>
      <c r="JZ30" s="6">
        <f t="shared" si="141"/>
        <v>-87.65161039500002</v>
      </c>
      <c r="KB30" s="5">
        <v>46081</v>
      </c>
      <c r="KC30" s="6">
        <v>605523.61899417301</v>
      </c>
      <c r="KD30" s="6">
        <f t="shared" si="142"/>
        <v>1593.3985875471312</v>
      </c>
      <c r="KE30" s="6">
        <v>600420.90368314297</v>
      </c>
      <c r="KF30" s="6">
        <f t="shared" si="143"/>
        <v>1579.9711024512467</v>
      </c>
      <c r="KG30" s="6">
        <f t="shared" si="144"/>
        <v>3173.3696899983779</v>
      </c>
      <c r="KH30" s="6"/>
      <c r="KI30" s="6">
        <f t="shared" si="145"/>
        <v>5102.7153110300424</v>
      </c>
      <c r="KJ30" s="6">
        <f t="shared" si="146"/>
        <v>13.427485095884645</v>
      </c>
      <c r="KK30" s="6">
        <v>2.2026032089999998</v>
      </c>
      <c r="KL30" s="6">
        <f t="shared" si="147"/>
        <v>1514.57604460467</v>
      </c>
      <c r="KM30" s="6">
        <v>2.2675451259999999</v>
      </c>
      <c r="KN30" s="6">
        <f t="shared" si="148"/>
        <v>1559.23205499138</v>
      </c>
      <c r="KO30" s="6">
        <f t="shared" si="149"/>
        <v>-44.656010386710051</v>
      </c>
      <c r="KQ30" s="5">
        <v>46081</v>
      </c>
      <c r="KR30" s="6">
        <v>591918.97470182495</v>
      </c>
      <c r="KS30" s="6">
        <f t="shared" si="150"/>
        <v>1557.5987932541902</v>
      </c>
      <c r="KT30" s="6">
        <v>600420.90368314297</v>
      </c>
      <c r="KU30" s="6">
        <f t="shared" si="151"/>
        <v>1579.9711024512467</v>
      </c>
      <c r="KV30" s="6">
        <f t="shared" si="152"/>
        <v>3137.5698957054369</v>
      </c>
      <c r="KW30" s="6"/>
      <c r="KX30" s="6">
        <f t="shared" si="153"/>
        <v>-8501.9289813180221</v>
      </c>
      <c r="KY30" s="6">
        <f t="shared" si="154"/>
        <v>-22.372309197056307</v>
      </c>
      <c r="KZ30" s="6">
        <v>2.2024938939999998</v>
      </c>
      <c r="LA30" s="6">
        <f t="shared" si="155"/>
        <v>1514.5008763312198</v>
      </c>
      <c r="LB30" s="6">
        <v>2.2147368680000001</v>
      </c>
      <c r="LC30" s="6">
        <f t="shared" si="156"/>
        <v>1522.91951254284</v>
      </c>
      <c r="LD30" s="6">
        <f t="shared" si="157"/>
        <v>-8.4186362116202034</v>
      </c>
      <c r="LF30" s="5">
        <v>46081</v>
      </c>
      <c r="LG30" s="6">
        <v>589811.17530036694</v>
      </c>
      <c r="LH30" s="6">
        <f t="shared" si="158"/>
        <v>1552.0522472834571</v>
      </c>
      <c r="LI30" s="6">
        <v>616453.1426180331</v>
      </c>
      <c r="LJ30" s="6">
        <f t="shared" si="159"/>
        <v>1622.1589644482829</v>
      </c>
      <c r="LK30" s="6">
        <f t="shared" si="160"/>
        <v>3174.2112117317401</v>
      </c>
      <c r="LL30" s="6"/>
      <c r="LM30" s="6">
        <f t="shared" si="161"/>
        <v>-26641.96731766616</v>
      </c>
      <c r="LN30" s="6">
        <f t="shared" si="162"/>
        <v>-70.106717164825582</v>
      </c>
      <c r="LO30" s="6">
        <v>18.745933999999998</v>
      </c>
      <c r="LP30" s="6">
        <f t="shared" si="163"/>
        <v>1565.0980296599998</v>
      </c>
      <c r="LQ30" s="6">
        <v>18.298919389999998</v>
      </c>
      <c r="LR30" s="6">
        <f t="shared" si="164"/>
        <v>1527.7767798710997</v>
      </c>
      <c r="LS30" s="6">
        <f t="shared" si="165"/>
        <v>37.321249788900005</v>
      </c>
      <c r="LU30" s="5">
        <v>46081</v>
      </c>
      <c r="LV30" s="6">
        <v>592119.41658187006</v>
      </c>
      <c r="LW30" s="6">
        <f t="shared" si="166"/>
        <v>1558.1262438746628</v>
      </c>
      <c r="LX30" s="6">
        <v>583706.62581767503</v>
      </c>
      <c r="LY30" s="6">
        <f t="shared" si="167"/>
        <v>1535.9884964763619</v>
      </c>
      <c r="LZ30" s="6">
        <f t="shared" si="168"/>
        <v>3094.1147403510249</v>
      </c>
      <c r="MA30" s="6"/>
      <c r="MB30" s="6">
        <f t="shared" si="169"/>
        <v>8412.7907641950296</v>
      </c>
      <c r="MC30" s="6">
        <f t="shared" si="170"/>
        <v>22.137747398300757</v>
      </c>
      <c r="MD30" s="6">
        <v>17.748240540000001</v>
      </c>
      <c r="ME30" s="6">
        <f t="shared" si="171"/>
        <v>1481.8006026846001</v>
      </c>
      <c r="MF30" s="6">
        <v>18.371888510000002</v>
      </c>
      <c r="MG30" s="6">
        <f t="shared" si="172"/>
        <v>1533.8689716998999</v>
      </c>
      <c r="MH30" s="6">
        <f t="shared" si="173"/>
        <v>-52.068369015300028</v>
      </c>
      <c r="MJ30" s="5">
        <v>46081</v>
      </c>
      <c r="MK30" s="6">
        <v>598054.59100695292</v>
      </c>
      <c r="ML30" s="6">
        <f t="shared" si="174"/>
        <v>1573.7442945156633</v>
      </c>
      <c r="MM30" s="6">
        <v>598152.73723002407</v>
      </c>
      <c r="MN30" s="6">
        <f t="shared" si="175"/>
        <v>1574.0025603343845</v>
      </c>
      <c r="MO30" s="6">
        <f t="shared" si="176"/>
        <v>3147.7468548500478</v>
      </c>
      <c r="MP30" s="6"/>
      <c r="MQ30" s="6">
        <f t="shared" si="177"/>
        <v>-98.146223071147688</v>
      </c>
      <c r="MR30" s="6">
        <f t="shared" si="178"/>
        <v>-0.25826581872136239</v>
      </c>
      <c r="MS30" s="6">
        <v>4.8288267999999999</v>
      </c>
      <c r="MT30" s="6">
        <f t="shared" si="179"/>
        <v>1490.996851036</v>
      </c>
      <c r="MU30" s="6">
        <v>4.92528275</v>
      </c>
      <c r="MV30" s="6">
        <f t="shared" si="180"/>
        <v>1520.7795547174999</v>
      </c>
      <c r="MW30" s="6">
        <f t="shared" si="181"/>
        <v>-29.782703681500053</v>
      </c>
      <c r="MY30" s="5">
        <v>46081</v>
      </c>
      <c r="MZ30" s="6">
        <v>576374.79687224899</v>
      </c>
      <c r="NA30" s="6">
        <f t="shared" si="182"/>
        <v>1516.6952343816731</v>
      </c>
      <c r="NB30" s="6">
        <v>598152.73723002407</v>
      </c>
      <c r="NC30" s="6">
        <f t="shared" si="183"/>
        <v>1574.0025603343845</v>
      </c>
      <c r="ND30" s="6">
        <f t="shared" si="184"/>
        <v>3090.6977947160576</v>
      </c>
      <c r="NE30" s="6"/>
      <c r="NF30" s="6">
        <f t="shared" si="185"/>
        <v>-21777.940357775078</v>
      </c>
      <c r="NG30" s="6">
        <f t="shared" si="186"/>
        <v>-57.307325952711359</v>
      </c>
      <c r="NH30" s="6">
        <v>4.8283196300000002</v>
      </c>
      <c r="NI30" s="6">
        <f t="shared" si="187"/>
        <v>1490.8402521551</v>
      </c>
      <c r="NJ30" s="6">
        <v>4.7507849300000009</v>
      </c>
      <c r="NK30" s="6">
        <f t="shared" si="188"/>
        <v>1466.8998628361003</v>
      </c>
      <c r="NL30" s="6">
        <f t="shared" si="189"/>
        <v>23.940389318999781</v>
      </c>
      <c r="NN30" s="5">
        <v>46081</v>
      </c>
      <c r="NO30" s="6">
        <v>589711.60912048898</v>
      </c>
      <c r="NP30" s="6">
        <f t="shared" si="190"/>
        <v>1551.7902449347321</v>
      </c>
      <c r="NQ30" s="6">
        <v>595889.5255571811</v>
      </c>
      <c r="NR30" s="6">
        <f t="shared" si="191"/>
        <v>1568.0470564205682</v>
      </c>
      <c r="NS30" s="6">
        <f t="shared" si="192"/>
        <v>3119.8373013553</v>
      </c>
      <c r="NT30" s="6"/>
      <c r="NU30" s="6">
        <f t="shared" si="193"/>
        <v>-6177.9164366921177</v>
      </c>
      <c r="NV30" s="6">
        <f t="shared" si="194"/>
        <v>-16.256811485835957</v>
      </c>
      <c r="NW30" s="6">
        <v>222693.96721</v>
      </c>
      <c r="NX30" s="6">
        <f t="shared" si="195"/>
        <v>1556.6308307979</v>
      </c>
      <c r="NY30" s="6">
        <v>229434.006857</v>
      </c>
      <c r="NZ30" s="6">
        <f t="shared" si="196"/>
        <v>1603.74370793043</v>
      </c>
      <c r="OA30" s="6">
        <f t="shared" si="197"/>
        <v>-47.112877132529981</v>
      </c>
      <c r="OC30" s="5">
        <v>46081</v>
      </c>
      <c r="OD30" s="6">
        <v>589685.48790823994</v>
      </c>
      <c r="OE30" s="6">
        <f t="shared" si="198"/>
        <v>1551.7215085528685</v>
      </c>
      <c r="OF30" s="6">
        <v>603357.20960151497</v>
      </c>
      <c r="OG30" s="6">
        <f t="shared" si="199"/>
        <v>1587.6978129480428</v>
      </c>
      <c r="OH30" s="6">
        <f t="shared" si="200"/>
        <v>3139.4193215009113</v>
      </c>
      <c r="OI30" s="6"/>
      <c r="OJ30" s="6">
        <f t="shared" si="201"/>
        <v>-13671.721693275031</v>
      </c>
      <c r="OK30" s="6">
        <f t="shared" si="202"/>
        <v>-35.976304395174289</v>
      </c>
      <c r="OL30" s="6">
        <v>225461.30173899999</v>
      </c>
      <c r="OM30" s="6">
        <f t="shared" si="203"/>
        <v>1575.9744991556099</v>
      </c>
      <c r="ON30" s="6">
        <v>229434.006857</v>
      </c>
      <c r="OO30" s="6">
        <f t="shared" si="204"/>
        <v>1603.74370793043</v>
      </c>
      <c r="OP30" s="6">
        <f t="shared" si="205"/>
        <v>-27.769208774820086</v>
      </c>
    </row>
    <row r="31" spans="1:406" x14ac:dyDescent="0.2">
      <c r="G31" s="3" t="s">
        <v>113</v>
      </c>
    </row>
    <row r="32" spans="1:406" x14ac:dyDescent="0.2">
      <c r="W32" s="3" t="s">
        <v>113</v>
      </c>
      <c r="MB32" s="3" t="s">
        <v>114</v>
      </c>
      <c r="NI32" s="3" t="s">
        <v>1</v>
      </c>
    </row>
    <row r="33" spans="42:278" x14ac:dyDescent="0.2">
      <c r="JR33" s="3" t="s">
        <v>112</v>
      </c>
    </row>
    <row r="34" spans="42:278" x14ac:dyDescent="0.2">
      <c r="AP34" s="3" t="s">
        <v>113</v>
      </c>
    </row>
  </sheetData>
  <mergeCells count="26">
    <mergeCell ref="CO1:DB1"/>
    <mergeCell ref="AG1:AT1"/>
    <mergeCell ref="R1:AE1"/>
    <mergeCell ref="AV1:BI1"/>
    <mergeCell ref="BK1:BX1"/>
    <mergeCell ref="BZ1:CM1"/>
    <mergeCell ref="II1:IV1"/>
    <mergeCell ref="DD1:DQ1"/>
    <mergeCell ref="DS1:EF1"/>
    <mergeCell ref="EH1:EU1"/>
    <mergeCell ref="EW1:FJ1"/>
    <mergeCell ref="FL1:FY1"/>
    <mergeCell ref="GA1:GN1"/>
    <mergeCell ref="GP1:HC1"/>
    <mergeCell ref="HE1:HR1"/>
    <mergeCell ref="HT1:IG1"/>
    <mergeCell ref="IX1:JK1"/>
    <mergeCell ref="JM1:JZ1"/>
    <mergeCell ref="KB1:KO1"/>
    <mergeCell ref="KQ1:LD1"/>
    <mergeCell ref="LF1:LS1"/>
    <mergeCell ref="LU1:MH1"/>
    <mergeCell ref="MJ1:MW1"/>
    <mergeCell ref="MY1:NL1"/>
    <mergeCell ref="NN1:OA1"/>
    <mergeCell ref="OC1:O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MM</vt:lpstr>
      <vt:lpstr>MM volume and PL walletwise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spacenet</dc:creator>
  <cp:lastModifiedBy>cs spacenet</cp:lastModifiedBy>
  <dcterms:created xsi:type="dcterms:W3CDTF">2025-09-03T06:48:06Z</dcterms:created>
  <dcterms:modified xsi:type="dcterms:W3CDTF">2026-04-02T05:26:15Z</dcterms:modified>
</cp:coreProperties>
</file>